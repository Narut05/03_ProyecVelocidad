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Intercorp Retail\Productividad PV - VV - EP\03_ProyecVelocidad\presentacion gor\"/>
    </mc:Choice>
  </mc:AlternateContent>
  <xr:revisionPtr revIDLastSave="0" documentId="13_ncr:9_{D6895592-69E0-43A7-88CB-A45F82CFD382}" xr6:coauthVersionLast="47" xr6:coauthVersionMax="47" xr10:uidLastSave="{00000000-0000-0000-0000-000000000000}"/>
  <bookViews>
    <workbookView xWindow="-108" yWindow="-108" windowWidth="30936" windowHeight="16776" xr2:uid="{FD2FCA97-1497-4626-90A1-C6C79F66E579}"/>
  </bookViews>
  <sheets>
    <sheet name="Resumen" sheetId="2" r:id="rId1"/>
    <sheet name="BaseDatos" sheetId="1" r:id="rId2"/>
  </sheets>
  <definedNames>
    <definedName name="_xlnm._FilterDatabase" localSheetId="1" hidden="1">BaseDatos!$A$1:$O$319</definedName>
    <definedName name="SegmentaciónDeDatos_Local">#N/A</definedName>
  </definedNames>
  <calcPr calcId="0"/>
  <pivotCaches>
    <pivotCache cacheId="23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O3" i="1" l="1"/>
  <c r="N3" i="1" s="1"/>
  <c r="O4" i="1"/>
  <c r="N4" i="1" s="1"/>
  <c r="O5" i="1"/>
  <c r="N5" i="1" s="1"/>
  <c r="N6" i="1"/>
  <c r="O7" i="1"/>
  <c r="N7" i="1" s="1"/>
  <c r="O8" i="1"/>
  <c r="N8" i="1" s="1"/>
  <c r="O9" i="1"/>
  <c r="N9" i="1" s="1"/>
  <c r="O10" i="1"/>
  <c r="N10" i="1" s="1"/>
  <c r="O11" i="1"/>
  <c r="N11" i="1" s="1"/>
  <c r="O12" i="1"/>
  <c r="N12" i="1" s="1"/>
  <c r="O13" i="1"/>
  <c r="N13" i="1" s="1"/>
  <c r="O14" i="1"/>
  <c r="N14" i="1" s="1"/>
  <c r="O15" i="1"/>
  <c r="N15" i="1" s="1"/>
  <c r="O16" i="1"/>
  <c r="N16" i="1" s="1"/>
  <c r="O17" i="1"/>
  <c r="N17" i="1" s="1"/>
  <c r="O18" i="1"/>
  <c r="N18" i="1" s="1"/>
  <c r="O19" i="1"/>
  <c r="N19" i="1" s="1"/>
  <c r="O20" i="1"/>
  <c r="N20" i="1" s="1"/>
  <c r="O21" i="1"/>
  <c r="N21" i="1" s="1"/>
  <c r="O22" i="1"/>
  <c r="N22" i="1" s="1"/>
  <c r="O23" i="1"/>
  <c r="N23" i="1" s="1"/>
  <c r="O24" i="1"/>
  <c r="N24" i="1" s="1"/>
  <c r="O25" i="1"/>
  <c r="N25" i="1" s="1"/>
  <c r="O26" i="1"/>
  <c r="N26" i="1" s="1"/>
  <c r="O27" i="1"/>
  <c r="N27" i="1" s="1"/>
  <c r="O28" i="1"/>
  <c r="N28" i="1" s="1"/>
  <c r="O29" i="1"/>
  <c r="N29" i="1" s="1"/>
  <c r="O30" i="1"/>
  <c r="N30" i="1" s="1"/>
  <c r="O31" i="1"/>
  <c r="N31" i="1" s="1"/>
  <c r="O32" i="1"/>
  <c r="N32" i="1" s="1"/>
  <c r="O33" i="1"/>
  <c r="N33" i="1" s="1"/>
  <c r="O34" i="1"/>
  <c r="N34" i="1" s="1"/>
  <c r="O35" i="1"/>
  <c r="N35" i="1" s="1"/>
  <c r="O36" i="1"/>
  <c r="N36" i="1" s="1"/>
  <c r="O37" i="1"/>
  <c r="N37" i="1" s="1"/>
  <c r="O38" i="1"/>
  <c r="N38" i="1" s="1"/>
  <c r="O39" i="1"/>
  <c r="N39" i="1" s="1"/>
  <c r="O40" i="1"/>
  <c r="N40" i="1" s="1"/>
  <c r="O41" i="1"/>
  <c r="N41" i="1" s="1"/>
  <c r="O42" i="1"/>
  <c r="N42" i="1" s="1"/>
  <c r="O43" i="1"/>
  <c r="N43" i="1" s="1"/>
  <c r="O44" i="1"/>
  <c r="N44" i="1" s="1"/>
  <c r="N45" i="1"/>
  <c r="O45" i="1"/>
  <c r="O46" i="1"/>
  <c r="N46" i="1" s="1"/>
  <c r="O47" i="1"/>
  <c r="N47" i="1" s="1"/>
  <c r="O48" i="1"/>
  <c r="N48" i="1" s="1"/>
  <c r="O49" i="1"/>
  <c r="N49" i="1" s="1"/>
  <c r="O50" i="1"/>
  <c r="N50" i="1" s="1"/>
  <c r="O51" i="1"/>
  <c r="N51" i="1" s="1"/>
  <c r="O52" i="1"/>
  <c r="N52" i="1" s="1"/>
  <c r="N53" i="1"/>
  <c r="O54" i="1"/>
  <c r="N54" i="1" s="1"/>
  <c r="O55" i="1"/>
  <c r="N55" i="1" s="1"/>
  <c r="O56" i="1"/>
  <c r="N56" i="1" s="1"/>
  <c r="N57" i="1"/>
  <c r="O57" i="1"/>
  <c r="O58" i="1"/>
  <c r="N58" i="1" s="1"/>
  <c r="O59" i="1"/>
  <c r="N59" i="1" s="1"/>
  <c r="O60" i="1"/>
  <c r="N60" i="1" s="1"/>
  <c r="O61" i="1"/>
  <c r="N61" i="1" s="1"/>
  <c r="O62" i="1"/>
  <c r="N62" i="1" s="1"/>
  <c r="O63" i="1"/>
  <c r="N63" i="1" s="1"/>
  <c r="O64" i="1"/>
  <c r="N64" i="1" s="1"/>
  <c r="O65" i="1"/>
  <c r="N65" i="1" s="1"/>
  <c r="O66" i="1"/>
  <c r="N66" i="1" s="1"/>
  <c r="N67" i="1"/>
  <c r="O68" i="1"/>
  <c r="N68" i="1" s="1"/>
  <c r="O69" i="1"/>
  <c r="N69" i="1" s="1"/>
  <c r="O70" i="1"/>
  <c r="N70" i="1" s="1"/>
  <c r="O71" i="1"/>
  <c r="N71" i="1" s="1"/>
  <c r="O72" i="1"/>
  <c r="N72" i="1" s="1"/>
  <c r="O73" i="1"/>
  <c r="N73" i="1" s="1"/>
  <c r="O74" i="1"/>
  <c r="N74" i="1" s="1"/>
  <c r="O75" i="1"/>
  <c r="N75" i="1" s="1"/>
  <c r="O76" i="1"/>
  <c r="N76" i="1" s="1"/>
  <c r="O77" i="1"/>
  <c r="N77" i="1" s="1"/>
  <c r="N78" i="1"/>
  <c r="O79" i="1"/>
  <c r="N79" i="1" s="1"/>
  <c r="O80" i="1"/>
  <c r="N80" i="1" s="1"/>
  <c r="O81" i="1"/>
  <c r="N81" i="1" s="1"/>
  <c r="O82" i="1"/>
  <c r="N82" i="1" s="1"/>
  <c r="O83" i="1"/>
  <c r="N83" i="1" s="1"/>
  <c r="O84" i="1"/>
  <c r="N84" i="1" s="1"/>
  <c r="O85" i="1"/>
  <c r="N85" i="1" s="1"/>
  <c r="O86" i="1"/>
  <c r="N86" i="1" s="1"/>
  <c r="O87" i="1"/>
  <c r="N87" i="1" s="1"/>
  <c r="O88" i="1"/>
  <c r="N88" i="1" s="1"/>
  <c r="N89" i="1"/>
  <c r="O90" i="1"/>
  <c r="N90" i="1" s="1"/>
  <c r="O91" i="1"/>
  <c r="N91" i="1" s="1"/>
  <c r="O92" i="1"/>
  <c r="N92" i="1" s="1"/>
  <c r="O93" i="1"/>
  <c r="N93" i="1" s="1"/>
  <c r="O94" i="1"/>
  <c r="N94" i="1" s="1"/>
  <c r="O95" i="1"/>
  <c r="N95" i="1" s="1"/>
  <c r="O96" i="1"/>
  <c r="N96" i="1" s="1"/>
  <c r="O97" i="1"/>
  <c r="N97" i="1" s="1"/>
  <c r="O98" i="1"/>
  <c r="N98" i="1" s="1"/>
  <c r="N99" i="1"/>
  <c r="O99" i="1"/>
  <c r="O100" i="1"/>
  <c r="N100" i="1" s="1"/>
  <c r="O101" i="1"/>
  <c r="N101" i="1" s="1"/>
  <c r="O102" i="1"/>
  <c r="N102" i="1" s="1"/>
  <c r="O103" i="1"/>
  <c r="N103" i="1" s="1"/>
  <c r="O104" i="1"/>
  <c r="N104" i="1" s="1"/>
  <c r="O105" i="1"/>
  <c r="N105" i="1" s="1"/>
  <c r="O106" i="1"/>
  <c r="N106" i="1" s="1"/>
  <c r="O107" i="1"/>
  <c r="N107" i="1" s="1"/>
  <c r="O108" i="1"/>
  <c r="N108" i="1" s="1"/>
  <c r="O109" i="1"/>
  <c r="N109" i="1" s="1"/>
  <c r="O110" i="1"/>
  <c r="N110" i="1" s="1"/>
  <c r="N111" i="1"/>
  <c r="O112" i="1"/>
  <c r="N112" i="1" s="1"/>
  <c r="O113" i="1"/>
  <c r="N113" i="1" s="1"/>
  <c r="O114" i="1"/>
  <c r="N114" i="1" s="1"/>
  <c r="O115" i="1"/>
  <c r="N115" i="1" s="1"/>
  <c r="O116" i="1"/>
  <c r="N116" i="1" s="1"/>
  <c r="O117" i="1"/>
  <c r="N117" i="1" s="1"/>
  <c r="N118" i="1"/>
  <c r="N119" i="1"/>
  <c r="N120" i="1"/>
  <c r="O121" i="1"/>
  <c r="N121" i="1" s="1"/>
  <c r="O122" i="1"/>
  <c r="N122" i="1" s="1"/>
  <c r="N123" i="1"/>
  <c r="O123" i="1"/>
  <c r="O124" i="1"/>
  <c r="N124" i="1" s="1"/>
  <c r="O125" i="1"/>
  <c r="N125" i="1" s="1"/>
  <c r="O126" i="1"/>
  <c r="N126" i="1" s="1"/>
  <c r="O127" i="1"/>
  <c r="N127" i="1" s="1"/>
  <c r="O128" i="1"/>
  <c r="N128" i="1" s="1"/>
  <c r="O129" i="1"/>
  <c r="N129" i="1" s="1"/>
  <c r="O130" i="1"/>
  <c r="N130" i="1" s="1"/>
  <c r="O131" i="1"/>
  <c r="N131" i="1" s="1"/>
  <c r="O132" i="1"/>
  <c r="N132" i="1" s="1"/>
  <c r="O133" i="1"/>
  <c r="N133" i="1" s="1"/>
  <c r="O134" i="1"/>
  <c r="N134" i="1" s="1"/>
  <c r="O135" i="1"/>
  <c r="N135" i="1" s="1"/>
  <c r="O136" i="1"/>
  <c r="N136" i="1" s="1"/>
  <c r="O137" i="1"/>
  <c r="N137" i="1" s="1"/>
  <c r="O138" i="1"/>
  <c r="N138" i="1" s="1"/>
  <c r="O139" i="1"/>
  <c r="N139" i="1" s="1"/>
  <c r="O140" i="1"/>
  <c r="N140" i="1" s="1"/>
  <c r="O141" i="1"/>
  <c r="N141" i="1" s="1"/>
  <c r="O142" i="1"/>
  <c r="N142" i="1" s="1"/>
  <c r="O143" i="1"/>
  <c r="N143" i="1" s="1"/>
  <c r="O144" i="1"/>
  <c r="N144" i="1" s="1"/>
  <c r="O145" i="1"/>
  <c r="N145" i="1" s="1"/>
  <c r="O146" i="1"/>
  <c r="N146" i="1" s="1"/>
  <c r="O147" i="1"/>
  <c r="N147" i="1" s="1"/>
  <c r="O148" i="1"/>
  <c r="N148" i="1" s="1"/>
  <c r="O149" i="1"/>
  <c r="N149" i="1" s="1"/>
  <c r="O150" i="1"/>
  <c r="N150" i="1" s="1"/>
  <c r="O151" i="1"/>
  <c r="N151" i="1" s="1"/>
  <c r="O152" i="1"/>
  <c r="N152" i="1" s="1"/>
  <c r="O153" i="1"/>
  <c r="N153" i="1" s="1"/>
  <c r="O154" i="1"/>
  <c r="N154" i="1" s="1"/>
  <c r="O155" i="1"/>
  <c r="N155" i="1" s="1"/>
  <c r="O156" i="1"/>
  <c r="N156" i="1" s="1"/>
  <c r="O157" i="1"/>
  <c r="N157" i="1" s="1"/>
  <c r="O158" i="1"/>
  <c r="N158" i="1" s="1"/>
  <c r="N159" i="1"/>
  <c r="O159" i="1"/>
  <c r="O160" i="1"/>
  <c r="N160" i="1" s="1"/>
  <c r="O161" i="1"/>
  <c r="N161" i="1" s="1"/>
  <c r="O162" i="1"/>
  <c r="N162" i="1" s="1"/>
  <c r="O163" i="1"/>
  <c r="N163" i="1" s="1"/>
  <c r="O164" i="1"/>
  <c r="N164" i="1" s="1"/>
  <c r="O165" i="1"/>
  <c r="N165" i="1" s="1"/>
  <c r="O166" i="1"/>
  <c r="N166" i="1" s="1"/>
  <c r="O167" i="1"/>
  <c r="N167" i="1" s="1"/>
  <c r="O168" i="1"/>
  <c r="N168" i="1" s="1"/>
  <c r="O169" i="1"/>
  <c r="N169" i="1" s="1"/>
  <c r="O170" i="1"/>
  <c r="N170" i="1" s="1"/>
  <c r="N171" i="1"/>
  <c r="O171" i="1"/>
  <c r="O172" i="1"/>
  <c r="N172" i="1" s="1"/>
  <c r="O173" i="1"/>
  <c r="N173" i="1" s="1"/>
  <c r="O174" i="1"/>
  <c r="N174" i="1" s="1"/>
  <c r="O175" i="1"/>
  <c r="N175" i="1" s="1"/>
  <c r="O176" i="1"/>
  <c r="N176" i="1" s="1"/>
  <c r="O177" i="1"/>
  <c r="N177" i="1" s="1"/>
  <c r="O178" i="1"/>
  <c r="N178" i="1" s="1"/>
  <c r="O179" i="1"/>
  <c r="N179" i="1" s="1"/>
  <c r="O180" i="1"/>
  <c r="N180" i="1" s="1"/>
  <c r="O181" i="1"/>
  <c r="N181" i="1" s="1"/>
  <c r="O182" i="1"/>
  <c r="N182" i="1" s="1"/>
  <c r="O183" i="1"/>
  <c r="N183" i="1" s="1"/>
  <c r="O184" i="1"/>
  <c r="N184" i="1" s="1"/>
  <c r="O185" i="1"/>
  <c r="N185" i="1" s="1"/>
  <c r="O186" i="1"/>
  <c r="N186" i="1" s="1"/>
  <c r="O187" i="1"/>
  <c r="N187" i="1" s="1"/>
  <c r="O188" i="1"/>
  <c r="N188" i="1" s="1"/>
  <c r="O189" i="1"/>
  <c r="N189" i="1" s="1"/>
  <c r="O190" i="1"/>
  <c r="N190" i="1" s="1"/>
  <c r="O191" i="1"/>
  <c r="N191" i="1" s="1"/>
  <c r="O192" i="1"/>
  <c r="N192" i="1" s="1"/>
  <c r="O193" i="1"/>
  <c r="N193" i="1" s="1"/>
  <c r="O194" i="1"/>
  <c r="N194" i="1" s="1"/>
  <c r="N195" i="1"/>
  <c r="O195" i="1"/>
  <c r="O196" i="1"/>
  <c r="N196" i="1" s="1"/>
  <c r="O197" i="1"/>
  <c r="N197" i="1" s="1"/>
  <c r="O198" i="1"/>
  <c r="N198" i="1" s="1"/>
  <c r="O199" i="1"/>
  <c r="N199" i="1" s="1"/>
  <c r="O200" i="1"/>
  <c r="N200" i="1" s="1"/>
  <c r="O201" i="1"/>
  <c r="N201" i="1" s="1"/>
  <c r="O202" i="1"/>
  <c r="N202" i="1" s="1"/>
  <c r="O203" i="1"/>
  <c r="N203" i="1" s="1"/>
  <c r="O204" i="1"/>
  <c r="N204" i="1" s="1"/>
  <c r="O205" i="1"/>
  <c r="N205" i="1" s="1"/>
  <c r="O206" i="1"/>
  <c r="N206" i="1" s="1"/>
  <c r="O207" i="1"/>
  <c r="N207" i="1" s="1"/>
  <c r="O208" i="1"/>
  <c r="N208" i="1" s="1"/>
  <c r="O209" i="1"/>
  <c r="N209" i="1" s="1"/>
  <c r="O210" i="1"/>
  <c r="N210" i="1" s="1"/>
  <c r="O211" i="1"/>
  <c r="N211" i="1" s="1"/>
  <c r="O212" i="1"/>
  <c r="N212" i="1" s="1"/>
  <c r="O213" i="1"/>
  <c r="N213" i="1" s="1"/>
  <c r="O214" i="1"/>
  <c r="N214" i="1" s="1"/>
  <c r="O215" i="1"/>
  <c r="N215" i="1" s="1"/>
  <c r="O216" i="1"/>
  <c r="N216" i="1" s="1"/>
  <c r="O217" i="1"/>
  <c r="N217" i="1" s="1"/>
  <c r="O218" i="1"/>
  <c r="N218" i="1" s="1"/>
  <c r="O219" i="1"/>
  <c r="N219" i="1" s="1"/>
  <c r="O220" i="1"/>
  <c r="N220" i="1" s="1"/>
  <c r="O221" i="1"/>
  <c r="N221" i="1" s="1"/>
  <c r="O222" i="1"/>
  <c r="N222" i="1" s="1"/>
  <c r="O223" i="1"/>
  <c r="N223" i="1" s="1"/>
  <c r="O224" i="1"/>
  <c r="N224" i="1" s="1"/>
  <c r="O225" i="1"/>
  <c r="N225" i="1" s="1"/>
  <c r="O226" i="1"/>
  <c r="N226" i="1" s="1"/>
  <c r="O227" i="1"/>
  <c r="N227" i="1" s="1"/>
  <c r="O228" i="1"/>
  <c r="N228" i="1" s="1"/>
  <c r="O229" i="1"/>
  <c r="N229" i="1" s="1"/>
  <c r="O230" i="1"/>
  <c r="N230" i="1" s="1"/>
  <c r="O231" i="1"/>
  <c r="N231" i="1" s="1"/>
  <c r="O232" i="1"/>
  <c r="N232" i="1" s="1"/>
  <c r="O233" i="1"/>
  <c r="N233" i="1" s="1"/>
  <c r="O234" i="1"/>
  <c r="N234" i="1" s="1"/>
  <c r="O235" i="1"/>
  <c r="N235" i="1" s="1"/>
  <c r="O236" i="1"/>
  <c r="N236" i="1" s="1"/>
  <c r="N237" i="1"/>
  <c r="O237" i="1"/>
  <c r="O238" i="1"/>
  <c r="N238" i="1" s="1"/>
  <c r="O239" i="1"/>
  <c r="N239" i="1" s="1"/>
  <c r="O240" i="1"/>
  <c r="N240" i="1" s="1"/>
  <c r="O241" i="1"/>
  <c r="N241" i="1" s="1"/>
  <c r="O242" i="1"/>
  <c r="N242" i="1" s="1"/>
  <c r="O243" i="1"/>
  <c r="N243" i="1" s="1"/>
  <c r="O244" i="1"/>
  <c r="N244" i="1" s="1"/>
  <c r="O245" i="1"/>
  <c r="N245" i="1" s="1"/>
  <c r="O246" i="1"/>
  <c r="N246" i="1" s="1"/>
  <c r="O247" i="1"/>
  <c r="N247" i="1" s="1"/>
  <c r="O248" i="1"/>
  <c r="N248" i="1" s="1"/>
  <c r="O249" i="1"/>
  <c r="N249" i="1" s="1"/>
  <c r="O250" i="1"/>
  <c r="N250" i="1" s="1"/>
  <c r="O251" i="1"/>
  <c r="N251" i="1" s="1"/>
  <c r="O252" i="1"/>
  <c r="N252" i="1" s="1"/>
  <c r="O253" i="1"/>
  <c r="N253" i="1" s="1"/>
  <c r="O254" i="1"/>
  <c r="N254" i="1" s="1"/>
  <c r="N255" i="1"/>
  <c r="O255" i="1"/>
  <c r="O256" i="1"/>
  <c r="N256" i="1" s="1"/>
  <c r="O257" i="1"/>
  <c r="N257" i="1" s="1"/>
  <c r="O258" i="1"/>
  <c r="N258" i="1" s="1"/>
  <c r="O259" i="1"/>
  <c r="N259" i="1" s="1"/>
  <c r="O260" i="1"/>
  <c r="N260" i="1" s="1"/>
  <c r="O261" i="1"/>
  <c r="N261" i="1" s="1"/>
  <c r="O262" i="1"/>
  <c r="N262" i="1" s="1"/>
  <c r="O263" i="1"/>
  <c r="N263" i="1" s="1"/>
  <c r="O264" i="1"/>
  <c r="N264" i="1" s="1"/>
  <c r="O265" i="1"/>
  <c r="N265" i="1" s="1"/>
  <c r="O266" i="1"/>
  <c r="N266" i="1" s="1"/>
  <c r="O267" i="1"/>
  <c r="N267" i="1" s="1"/>
  <c r="O268" i="1"/>
  <c r="N268" i="1" s="1"/>
  <c r="O269" i="1"/>
  <c r="N269" i="1" s="1"/>
  <c r="O270" i="1"/>
  <c r="N270" i="1" s="1"/>
  <c r="O271" i="1"/>
  <c r="N271" i="1" s="1"/>
  <c r="O272" i="1"/>
  <c r="N272" i="1" s="1"/>
  <c r="O273" i="1"/>
  <c r="N273" i="1" s="1"/>
  <c r="O274" i="1"/>
  <c r="N274" i="1" s="1"/>
  <c r="O275" i="1"/>
  <c r="N275" i="1" s="1"/>
  <c r="O276" i="1"/>
  <c r="N276" i="1" s="1"/>
  <c r="O277" i="1"/>
  <c r="N277" i="1" s="1"/>
  <c r="O278" i="1"/>
  <c r="N278" i="1" s="1"/>
  <c r="O279" i="1"/>
  <c r="N279" i="1" s="1"/>
  <c r="O280" i="1"/>
  <c r="N280" i="1" s="1"/>
  <c r="O281" i="1"/>
  <c r="N281" i="1" s="1"/>
  <c r="O282" i="1"/>
  <c r="N282" i="1" s="1"/>
  <c r="O283" i="1"/>
  <c r="N283" i="1" s="1"/>
  <c r="O284" i="1"/>
  <c r="N284" i="1" s="1"/>
  <c r="N285" i="1"/>
  <c r="O285" i="1"/>
  <c r="O286" i="1"/>
  <c r="N286" i="1" s="1"/>
  <c r="O287" i="1"/>
  <c r="N287" i="1" s="1"/>
  <c r="O288" i="1"/>
  <c r="N288" i="1" s="1"/>
  <c r="O289" i="1"/>
  <c r="N289" i="1" s="1"/>
  <c r="O290" i="1"/>
  <c r="N290" i="1" s="1"/>
  <c r="O291" i="1"/>
  <c r="N291" i="1" s="1"/>
  <c r="O292" i="1"/>
  <c r="N292" i="1" s="1"/>
  <c r="O293" i="1"/>
  <c r="N293" i="1" s="1"/>
  <c r="O294" i="1"/>
  <c r="N294" i="1" s="1"/>
  <c r="O295" i="1"/>
  <c r="N295" i="1" s="1"/>
  <c r="O296" i="1"/>
  <c r="N296" i="1" s="1"/>
  <c r="N297" i="1"/>
  <c r="O297" i="1"/>
  <c r="O298" i="1"/>
  <c r="N298" i="1" s="1"/>
  <c r="O299" i="1"/>
  <c r="N299" i="1" s="1"/>
  <c r="O300" i="1"/>
  <c r="N300" i="1" s="1"/>
  <c r="O301" i="1"/>
  <c r="N301" i="1" s="1"/>
  <c r="O302" i="1"/>
  <c r="N302" i="1" s="1"/>
  <c r="N303" i="1"/>
  <c r="O303" i="1"/>
  <c r="O304" i="1"/>
  <c r="N304" i="1" s="1"/>
  <c r="O305" i="1"/>
  <c r="N305" i="1" s="1"/>
  <c r="O306" i="1"/>
  <c r="N306" i="1" s="1"/>
  <c r="O307" i="1"/>
  <c r="N307" i="1" s="1"/>
  <c r="O308" i="1"/>
  <c r="N308" i="1" s="1"/>
  <c r="O309" i="1"/>
  <c r="N309" i="1" s="1"/>
  <c r="O310" i="1"/>
  <c r="N310" i="1" s="1"/>
  <c r="O311" i="1"/>
  <c r="N311" i="1" s="1"/>
  <c r="O312" i="1"/>
  <c r="N312" i="1" s="1"/>
  <c r="O313" i="1"/>
  <c r="N313" i="1" s="1"/>
  <c r="O314" i="1"/>
  <c r="N314" i="1" s="1"/>
  <c r="O315" i="1"/>
  <c r="N315" i="1" s="1"/>
  <c r="O316" i="1"/>
  <c r="N316" i="1" s="1"/>
  <c r="O317" i="1"/>
  <c r="N317" i="1" s="1"/>
  <c r="O318" i="1"/>
  <c r="N318" i="1" s="1"/>
  <c r="O319" i="1"/>
  <c r="N319" i="1" s="1"/>
  <c r="N2" i="1"/>
</calcChain>
</file>

<file path=xl/sharedStrings.xml><?xml version="1.0" encoding="utf-8"?>
<sst xmlns="http://schemas.openxmlformats.org/spreadsheetml/2006/main" count="1634" uniqueCount="518">
  <si>
    <t>Local</t>
  </si>
  <si>
    <t>Cod</t>
  </si>
  <si>
    <t>Colaborador</t>
  </si>
  <si>
    <t>Puesto</t>
  </si>
  <si>
    <t>Cant. trx</t>
  </si>
  <si>
    <t>Unid x Minuto</t>
  </si>
  <si>
    <t>Meta por Tienda</t>
  </si>
  <si>
    <t>Cumplimiento</t>
  </si>
  <si>
    <t>Permanencia</t>
  </si>
  <si>
    <t>F.Ingr</t>
  </si>
  <si>
    <t>F.Cese</t>
  </si>
  <si>
    <t>Estado</t>
  </si>
  <si>
    <t>cel</t>
  </si>
  <si>
    <t>_MesesPermanencia</t>
  </si>
  <si>
    <t>Nvo Chimbote - PVH</t>
  </si>
  <si>
    <t>VALENCIA DIAZ, SURI PAULA</t>
  </si>
  <si>
    <t>CAJERO 5X2 2DO TURNO</t>
  </si>
  <si>
    <t>00 a 00 m 02 d</t>
  </si>
  <si>
    <t>Activo</t>
  </si>
  <si>
    <t>GOMEZ VALDEZ, CESAR ENRIQUE</t>
  </si>
  <si>
    <t>00 a 00 m 05 d</t>
  </si>
  <si>
    <t>Chiclayo Aventura - PVH</t>
  </si>
  <si>
    <t>HUAMAN VALQUI, MARISOL LEYDY</t>
  </si>
  <si>
    <t>00 a 00 m 13 d</t>
  </si>
  <si>
    <t>PERICHE ALAMA, FERNANDA LUCIA</t>
  </si>
  <si>
    <t>CAJERO 5X2 1ER TURNO</t>
  </si>
  <si>
    <t>Talara - PVH</t>
  </si>
  <si>
    <t>BOULANGGER MOGOLLON, YOVANY GEORSINY</t>
  </si>
  <si>
    <t>00 a 00 m 16 d</t>
  </si>
  <si>
    <t>Sullana - PVH</t>
  </si>
  <si>
    <t>SULLON GARCIA, RUTH GIANELLA</t>
  </si>
  <si>
    <t>00 a 00 m 19 d</t>
  </si>
  <si>
    <t>TEMOCHE VALLE, GERALDINE AUDELIA</t>
  </si>
  <si>
    <t>Tumbes - PVH</t>
  </si>
  <si>
    <t>SIANCAS LITANO, JACKELINE PAOLA</t>
  </si>
  <si>
    <t>ZAPATA LAZO, ADRIANA ROSABEL</t>
  </si>
  <si>
    <t>00 a 00 m 20 d</t>
  </si>
  <si>
    <t>Piura - PVH</t>
  </si>
  <si>
    <t>ALVA BARRIENTOS, DANIELA DEL PILAR</t>
  </si>
  <si>
    <t>CAJERO 3X4</t>
  </si>
  <si>
    <t>00 a 01 m 02 d</t>
  </si>
  <si>
    <t>CORNEJO QUEZADA, NAYOVI ALEJANDRA</t>
  </si>
  <si>
    <t>MARCHAN ROMERO, REBECA YAMILEILY</t>
  </si>
  <si>
    <t>CAJERO 5X2</t>
  </si>
  <si>
    <t>DIAZ CALLIRGOS, ITALO RENATO</t>
  </si>
  <si>
    <t>00 a 01 m 03 d</t>
  </si>
  <si>
    <t>CHICOMA AQUINO, FRANCISCO ALEXANDER</t>
  </si>
  <si>
    <t>00 a 01 m 20 d</t>
  </si>
  <si>
    <t>Chimbote - PVH</t>
  </si>
  <si>
    <t>CERON QUIROZ, FABRIZIO URIOL</t>
  </si>
  <si>
    <t>00 a 01 m 25 d</t>
  </si>
  <si>
    <t>PEÑARANDA COBIAN, MARCELO ESTEFANO</t>
  </si>
  <si>
    <t>MENDEZ CASTRO, MICHELLE</t>
  </si>
  <si>
    <t>00 a 01 m 26 d</t>
  </si>
  <si>
    <t>NAVARRO PAZO, CINTHIA ARACELY</t>
  </si>
  <si>
    <t>RODRIGUEZ PARDO, PAMELA ALEXA</t>
  </si>
  <si>
    <t>00 a 02 m 00 d</t>
  </si>
  <si>
    <t>RODRIGUEZ URCIA, MANUEL ANTHONY</t>
  </si>
  <si>
    <t>SAYES VILCHEZ, EVELYN JUDITH</t>
  </si>
  <si>
    <t>ULLOA CONTRERAS, JHEFERSON JULINHO</t>
  </si>
  <si>
    <t>CHIROQUE OLIVARES, ALEXANDRA BELEN</t>
  </si>
  <si>
    <t>00 a 02 m 01 d</t>
  </si>
  <si>
    <t>SANTIAGO ABAD, ARIANA MICHELL</t>
  </si>
  <si>
    <t>CABRERA VALLE, MARÍA FERNANDA</t>
  </si>
  <si>
    <t>00 a 02 m 08 d</t>
  </si>
  <si>
    <t>LIZANA CRUZ, GIANELLA MILAGROS</t>
  </si>
  <si>
    <t>00 a 02 m 09 d</t>
  </si>
  <si>
    <t>CESPEDES MEDINA, CRUZ RONALDO</t>
  </si>
  <si>
    <t>00 a 02 m 10 d</t>
  </si>
  <si>
    <t>CRUZ ACEVEDO, EMILY CAMILA</t>
  </si>
  <si>
    <t>SALAZAR ROBLES, MIA MARIEL</t>
  </si>
  <si>
    <t>00 a 02 m 16 d</t>
  </si>
  <si>
    <t>RAYMUNDO ANTON, JOSE GABRIEL</t>
  </si>
  <si>
    <t>00 a 03 m 00 d</t>
  </si>
  <si>
    <t>AZCARATE RODRIGUEZ, LUISANNA CAMILA</t>
  </si>
  <si>
    <t>00 a 03 m 04 d</t>
  </si>
  <si>
    <t>LANDIVAR ROSALES, MARIA FERNANDA</t>
  </si>
  <si>
    <t>LIMA OTERO, MARIA GRABIELA</t>
  </si>
  <si>
    <t>NOVOA TRELLES, JUAN LUIS</t>
  </si>
  <si>
    <t>RAMIREZ JUAREZ, MARIA FERNANDA</t>
  </si>
  <si>
    <t>YARLEQUE LLOCYA, ABRIL YOVANY</t>
  </si>
  <si>
    <t>SILVA CARRENO, LIZBETH ALEXANDRA</t>
  </si>
  <si>
    <t>CURO ATENCIO, GERALDINE MARICIELO</t>
  </si>
  <si>
    <t>00 a 03 m 05 d</t>
  </si>
  <si>
    <t>GREEN GODOS, LAURA ESTEFANI</t>
  </si>
  <si>
    <t>ALVA ALVARADO, YULIANNA ELIZABETH</t>
  </si>
  <si>
    <t>00 a 03 m 11 d</t>
  </si>
  <si>
    <t>MENDOZA ZAVALETA, STEED HYUGA</t>
  </si>
  <si>
    <t>PANTA MENA, KEREN MIRELLA</t>
  </si>
  <si>
    <t>PISCOYA JUAREZ, GABRIEL OMAR</t>
  </si>
  <si>
    <t>RETO JUAREZ, SANDY NOEMI</t>
  </si>
  <si>
    <t>MUÑOZ OCHOA, ANGELA DAYANA</t>
  </si>
  <si>
    <t>00 a 03 m 14 d</t>
  </si>
  <si>
    <t>RAMOS PACHERRES, ROSA ALESSANDRA</t>
  </si>
  <si>
    <t>FLORES AGUILAR, CAMILA LUCIA</t>
  </si>
  <si>
    <t>00 a 03 m 15 d</t>
  </si>
  <si>
    <t>MUÑOZ AGREDA, ISAIT STEVEN</t>
  </si>
  <si>
    <t>VILCHEZ CHAVEZ VALERIA</t>
  </si>
  <si>
    <t>00 a 03 m 22 d</t>
  </si>
  <si>
    <t>Cesadx</t>
  </si>
  <si>
    <t>Paita - PVH</t>
  </si>
  <si>
    <t>GÓMEZ ATOCHA, ANGIE PAOLA</t>
  </si>
  <si>
    <t>00 a 04 m 04 d</t>
  </si>
  <si>
    <t>TRONCOS ZAPATA, ANNGIE ROSSMERY</t>
  </si>
  <si>
    <t>00 a 04 m 11 d</t>
  </si>
  <si>
    <t>El Chacarero - PVH</t>
  </si>
  <si>
    <t>RODRIGUEZ JUAREZ, ESTEFANY CARMELITA</t>
  </si>
  <si>
    <t>00 a 04 m 16 d</t>
  </si>
  <si>
    <t>VERA MORENO, ALONDRA MAYTEE</t>
  </si>
  <si>
    <t>00 a 06 m 00 d</t>
  </si>
  <si>
    <t>Chiclayo - PVH</t>
  </si>
  <si>
    <t>ESPINOZA CASTRO, BRISTNY BRICEL</t>
  </si>
  <si>
    <t>00 a 06 m 06 d</t>
  </si>
  <si>
    <t>SALAZAR PAREDES, ALONDRA JAZMIN</t>
  </si>
  <si>
    <t>SANTAMARÍA DÍAZ, ANA CRISTINA</t>
  </si>
  <si>
    <t>TINEO CAMPOS, JENNIFER MISHEL</t>
  </si>
  <si>
    <t>CASTILLO PEREZ, APVRIL VALENTINA</t>
  </si>
  <si>
    <t>MENDOZA ACHAHUI, RICARDO MAURICIO</t>
  </si>
  <si>
    <t>ZAVALETA MIO, ANGE VANESSA</t>
  </si>
  <si>
    <t>CARHUATANTA QUIROZ, TATIANA YAMILI</t>
  </si>
  <si>
    <t>00 a 06 m 11 d</t>
  </si>
  <si>
    <t>CASTILLO CHERO, KATTIA ALEXANDRA</t>
  </si>
  <si>
    <t>LLONTOP PUICAN, NEYDI YAZMIN</t>
  </si>
  <si>
    <t>MAURIOLA RUBIO, MARIA LUZ VICTORIA</t>
  </si>
  <si>
    <t>GARRIDO SAAVEDRA, JEFFERSON ALEXANDER JOSE</t>
  </si>
  <si>
    <t>00 a 06 m 15 d</t>
  </si>
  <si>
    <t>DIAZ LOPEZ, JESSICA</t>
  </si>
  <si>
    <t>CAJERO 6X1</t>
  </si>
  <si>
    <t>00 a 06 m 16 d</t>
  </si>
  <si>
    <t>MORETO MARINES, MILDREN ABIGAIL</t>
  </si>
  <si>
    <t>MOZO HUAMAN, AARON JOSUE</t>
  </si>
  <si>
    <t>HUAMAN RUIZ, LUCAS ALDAIR</t>
  </si>
  <si>
    <t>SANTIAGO FARFAN, ESPERANZA LISBET</t>
  </si>
  <si>
    <t>CHÁVEZ ATOCHE, FATIMA JACKELYNE</t>
  </si>
  <si>
    <t>00 a 06 m 20 d</t>
  </si>
  <si>
    <t>PEREZ SALAZAR, KATTYA EVELIN YULISSA</t>
  </si>
  <si>
    <t>00 a 06 m 23 d</t>
  </si>
  <si>
    <t>Talara Municipalidad - PVH</t>
  </si>
  <si>
    <t>RUFINO TORRES DE CESPEDES, LUZMILA ELENA</t>
  </si>
  <si>
    <t>00 a 06 m 28 d</t>
  </si>
  <si>
    <t>VELASQUEZ GARCIA, DANIEL ALEJANDRO</t>
  </si>
  <si>
    <t>00 a 06 m 29 d</t>
  </si>
  <si>
    <t>OLANO SUCLUPE, BRYAN ALESSANDRO</t>
  </si>
  <si>
    <t>00 a 07 m 03 d</t>
  </si>
  <si>
    <t>LUDEÑA VIDALES AXEL BENJAMIN</t>
  </si>
  <si>
    <t>GORDILLO MARCELO, BRIGUIT CIELITO</t>
  </si>
  <si>
    <t>MENDOZA ROJAS, JAMIE HARUMY NOEMI</t>
  </si>
  <si>
    <t>VERGARAY REQUE RONALDO JOSUE</t>
  </si>
  <si>
    <t>ALARCON MUNDACA, CAROLL GERALDINE</t>
  </si>
  <si>
    <t>00 a 07 m 04 d</t>
  </si>
  <si>
    <t>LEZAMA ALVAREZ, MARIA ELIZABETH</t>
  </si>
  <si>
    <t>00 a 07 m 07 d</t>
  </si>
  <si>
    <t>PAREDES HONORES, GLORIA ESTHER</t>
  </si>
  <si>
    <t>00 a 07 m 10 d</t>
  </si>
  <si>
    <t>LEÓN JARAMILLO, ALANIS BELEN</t>
  </si>
  <si>
    <t>00 a 07 m 13 d</t>
  </si>
  <si>
    <t>MACHARE SILVA, LESLIE XAMIRA</t>
  </si>
  <si>
    <t>00 a 07 m 14 d</t>
  </si>
  <si>
    <t>PRECIADO SALDARRIAGA, EVELYN MARIEL</t>
  </si>
  <si>
    <t>VILLEGAS VÉLIZ, GREYSI ESTÉFANY</t>
  </si>
  <si>
    <t>YARLEQUÉ OLIVOS, ROSANNA PATRICIA</t>
  </si>
  <si>
    <t>ANCHEA APOLO, YESSENIA MELISSA</t>
  </si>
  <si>
    <t>00 a 07 m 16 d</t>
  </si>
  <si>
    <t>SUYON GONZALES, MARIA MERCEDES</t>
  </si>
  <si>
    <t>00 a 07 m 17 d</t>
  </si>
  <si>
    <t>GARCIA BENAVIDES, YOMIRA KASANDRA</t>
  </si>
  <si>
    <t>00 a 07 m 25 d</t>
  </si>
  <si>
    <t>LAMA MENDOZA, EMILI YAZMIN</t>
  </si>
  <si>
    <t>00 a 08 m 04 d</t>
  </si>
  <si>
    <t>HUAYLLAS CALDERON, TRINIDAD ESTER</t>
  </si>
  <si>
    <t>00 a 08 m 08 d</t>
  </si>
  <si>
    <t>VILLANUEVA HUANCAS, CINTYA PAMELA</t>
  </si>
  <si>
    <t>00 a 08 m 29 d</t>
  </si>
  <si>
    <t>ADANAQUE ARRIAGA, YADIRA SUSALY</t>
  </si>
  <si>
    <t>00 a 09 m 14 d</t>
  </si>
  <si>
    <t>MENDOZA MALQUI, YOSELI ABIGAIL</t>
  </si>
  <si>
    <t>00 a 09 m 21 d</t>
  </si>
  <si>
    <t>PESANTES LLONTOP, KATTYA YHOSHIRA</t>
  </si>
  <si>
    <t>RIVERA VEGA, ANGIE CAMILA ISABEL</t>
  </si>
  <si>
    <t>GARCÍA COLLAZOS, WILMER ALEJANDRO</t>
  </si>
  <si>
    <t>00 a 09 m 29 d</t>
  </si>
  <si>
    <t>CHIROQUE PEÑA, MERCEDES PAOLA</t>
  </si>
  <si>
    <t>00 a 10 m 05 d</t>
  </si>
  <si>
    <t>OLIVOS PAIVA, JESSENIA</t>
  </si>
  <si>
    <t>RIVAS SILVA, PAULITA ELIZABETH</t>
  </si>
  <si>
    <t>SOJO FARIAS, SAMIRA MAYLI</t>
  </si>
  <si>
    <t>IZQUIERDO AVILA, KATHERINE ROSSMERY</t>
  </si>
  <si>
    <t>00 a 10 m 16 d</t>
  </si>
  <si>
    <t>PALACIOS YOVERA, ROSMERY PAOLA</t>
  </si>
  <si>
    <t>GARCIA MOZO, VANIA WENDOLY</t>
  </si>
  <si>
    <t>01 a 00 m 11 d</t>
  </si>
  <si>
    <t>FLORES RIOJAS, EDWIN ALEXANDER</t>
  </si>
  <si>
    <t>01 a 00 m 13 d</t>
  </si>
  <si>
    <t>ASENCIOS IZQUIERDO, MARIA ISABEL</t>
  </si>
  <si>
    <t>01 a 00 m 14 d</t>
  </si>
  <si>
    <t>PASACHE BANCES, LEIDY LEONOR</t>
  </si>
  <si>
    <t>01 a 00 m 15 d</t>
  </si>
  <si>
    <t>FERNANDEZ PISFIL, DIANA CAROLINA</t>
  </si>
  <si>
    <t>01 a 00 m 20 d</t>
  </si>
  <si>
    <t>REYES SOTO, JOSELIN ESTRELLA</t>
  </si>
  <si>
    <t>01 a 01 m 01 d</t>
  </si>
  <si>
    <t>MOZOMBITE ROMUALDO, ALBHIERY</t>
  </si>
  <si>
    <t>01 a 01 m 12 d</t>
  </si>
  <si>
    <t>AGUIRRE ESQUERRE, ALISON KIMBERLY</t>
  </si>
  <si>
    <t>01 a 01 m 19 d</t>
  </si>
  <si>
    <t>RUJEL VILCHEZ, JHON EDINSON</t>
  </si>
  <si>
    <t>APAZA CCASA, SONIA</t>
  </si>
  <si>
    <t>01 a 01 m 23 d</t>
  </si>
  <si>
    <t>CUENTAS PALACIOS, THIERRY HENRYD</t>
  </si>
  <si>
    <t>CASTRO VASQUEZ, WILDER JOSÉ</t>
  </si>
  <si>
    <t>01 a 02 m 16 d</t>
  </si>
  <si>
    <t>SILVA SAAVEDRA, CATHERINE</t>
  </si>
  <si>
    <t>01 a 03 m 16 d</t>
  </si>
  <si>
    <t>ARCINIEGA DUEÑAS, FRECIA GORETTY</t>
  </si>
  <si>
    <t>GIRON MATAMOROS, JHORMAN JUSSEPI</t>
  </si>
  <si>
    <t>SEMINARIO YARLEQUÉ, MARíA BELéN</t>
  </si>
  <si>
    <t>01 a 03 m 22 d</t>
  </si>
  <si>
    <t>SANCHEZ PATIÑO, CARMEN  JULIA</t>
  </si>
  <si>
    <t>01 a 04 m 00 d</t>
  </si>
  <si>
    <t>ARTEAGA SAONA, YASSADY ANAMILLE</t>
  </si>
  <si>
    <t>01 a 04 m 14 d</t>
  </si>
  <si>
    <t>RAMOS RIJALBA, MARIA YURITZA</t>
  </si>
  <si>
    <t>01 a 05 m 16 d</t>
  </si>
  <si>
    <t>AGUIRRE CORDOVA, YANINA ELOYSA</t>
  </si>
  <si>
    <t>01 a 06 m 14 d</t>
  </si>
  <si>
    <t>CORRA INCIO, JILDA FABIOLA</t>
  </si>
  <si>
    <t>01 a 06 m 19 d</t>
  </si>
  <si>
    <t>INOÑAN IGLESIAS, JESUS MIGUEL ALBERTO</t>
  </si>
  <si>
    <t>GAVIDIA CASTAÑEDA, JHOVER ANTONY</t>
  </si>
  <si>
    <t>01 a 06 m 23 d</t>
  </si>
  <si>
    <t>SOLSOL MOZOMBITE, CLINIO</t>
  </si>
  <si>
    <t>CHACON PALACIOS, YAHIRA EMELYN</t>
  </si>
  <si>
    <t>RODRIGUEZ GUTIERREZ, JEAN CARLOS</t>
  </si>
  <si>
    <t>SANDOVAL VASQUEZ, STEFANY MERCEDES DEL PILAR</t>
  </si>
  <si>
    <t>01 a 06 m 29 d</t>
  </si>
  <si>
    <t>CAPUÑAY VEGA ESTRELLA DEL ROSARIO</t>
  </si>
  <si>
    <t>01 a 07 m 02 d</t>
  </si>
  <si>
    <t>CHUNA PINTADO, NAYA CRISTHEL</t>
  </si>
  <si>
    <t>01 a 07 m 19 d</t>
  </si>
  <si>
    <t>DEZA ZUÑIGA, ALEJANDRO MISAEL</t>
  </si>
  <si>
    <t>01 a 07 m 20 d</t>
  </si>
  <si>
    <t>FUSTAMANTE BRAVO, EVELYN JAZMINE</t>
  </si>
  <si>
    <t>RAMIREZ LUCERO, MARIA CELESTE</t>
  </si>
  <si>
    <t>01 a 08 m 14 d</t>
  </si>
  <si>
    <t>CASTRO ALIAGA, GINO ROSENWER</t>
  </si>
  <si>
    <t>01 a 08 m 15 d</t>
  </si>
  <si>
    <t>GARCIA SANCHEZ, ISAI ALEXANDER</t>
  </si>
  <si>
    <t>01 a 09 m 12 d</t>
  </si>
  <si>
    <t>FIESTAS PAZOS, JHANILEY</t>
  </si>
  <si>
    <t>01 a 09 m 16 d</t>
  </si>
  <si>
    <t>JIMENEZ CAMPOS, PRISCILA CLAVEL</t>
  </si>
  <si>
    <t>RIVERA RONDOY, SHIRLEY ESTEFANY</t>
  </si>
  <si>
    <t>01 a 09 m 28 d</t>
  </si>
  <si>
    <t>HURTADO CASTRO, ANDRES ALEJANDRO</t>
  </si>
  <si>
    <t>01 a 10 m 02 d</t>
  </si>
  <si>
    <t>INGA CHIRA, CINTHYA ALELY</t>
  </si>
  <si>
    <t>01 a 10 m 29 d</t>
  </si>
  <si>
    <t>VALLE RISCO, JAIRO ANDRE</t>
  </si>
  <si>
    <t>VALLEJOS ROSAS, GEANCARLO</t>
  </si>
  <si>
    <t>QUINTANA ARAUJO, PEDRO ANTONIO</t>
  </si>
  <si>
    <t>01 a 10 m 30 d</t>
  </si>
  <si>
    <t>MORAN AREVALO, KATHERINE BRISSETTE</t>
  </si>
  <si>
    <t>01 a 11 m 06 d</t>
  </si>
  <si>
    <t>ALAYO RODRIGUEZ, IRWIN ANTHONY</t>
  </si>
  <si>
    <t>01 a 11 m 08 d</t>
  </si>
  <si>
    <t>MENA CASTILLO, JOSELYN LISBETH</t>
  </si>
  <si>
    <t>01 a 11 m 12 d</t>
  </si>
  <si>
    <t>ARTEAGA ZAVALETA, ESGGILLIA MELISSA</t>
  </si>
  <si>
    <t>01 a 11 m 15 d</t>
  </si>
  <si>
    <t>SANTA MARÍA SAMILLAN, BRAULIO CESAR</t>
  </si>
  <si>
    <t>02 a 00 m 03 d</t>
  </si>
  <si>
    <t>NAVARRO SANDOVAL, MILAGROS KATHERINE</t>
  </si>
  <si>
    <t>02 a 00 m 16 d</t>
  </si>
  <si>
    <t>FIESTAS ALVAREZ, JHANET JAMILETH</t>
  </si>
  <si>
    <t>02 a 00 m 26 d</t>
  </si>
  <si>
    <t>CAMPOS MARTINEZ, QUESIA NOEMI</t>
  </si>
  <si>
    <t>02 a 00 m 28 d</t>
  </si>
  <si>
    <t>GUERRERO CHERO, CéSAR ANDRéS</t>
  </si>
  <si>
    <t>GONZALES CHINCHA, LEIDI AZUCENA</t>
  </si>
  <si>
    <t>ARANA VALVERDE ANGIELINA DENISSE</t>
  </si>
  <si>
    <t>02 a 01 m 07 d</t>
  </si>
  <si>
    <t>ZÁRATE PINGO, BETSY ESTHER YELINNE</t>
  </si>
  <si>
    <t>02 a 01 m 08 d</t>
  </si>
  <si>
    <t>GALVEZ BARRETO, MAYRA ROSALI</t>
  </si>
  <si>
    <t>02 a 02 m 16 d</t>
  </si>
  <si>
    <t>LÓPEZ DURAND, ARIANA JULIET</t>
  </si>
  <si>
    <t>02 a 03 m 02 d</t>
  </si>
  <si>
    <t>YUPANQUI DE LA CRUZ, VALENTINA NICOLLE</t>
  </si>
  <si>
    <t>02 a 03 m 09 d</t>
  </si>
  <si>
    <t>ZAVALETA BRIVIO, OSCAR ALFONSO</t>
  </si>
  <si>
    <t>VERGEL CARBONELL, JERRY FABRIZIO</t>
  </si>
  <si>
    <t>02 a 03 m 28 d</t>
  </si>
  <si>
    <t>ALCANTARA DEL VALLE, LUIS ENRIQUE</t>
  </si>
  <si>
    <t>02 a 04 m 02 d</t>
  </si>
  <si>
    <t>AGURTO AMAYA, PAULA FRANCISCA</t>
  </si>
  <si>
    <t>BENDEZU TAMARIZ, GULAYNE PAMELA</t>
  </si>
  <si>
    <t>02 a 04 m 09 d</t>
  </si>
  <si>
    <t>CORDOVA QUIROZ, BRENDA MABEL</t>
  </si>
  <si>
    <t>CRUZADO OCANA VICTOR MATIAS</t>
  </si>
  <si>
    <t>CAMBERO AGUILAR ANDERSON SHANDEE</t>
  </si>
  <si>
    <t>02 a 04 m 18 d</t>
  </si>
  <si>
    <t>DIAZ SÁNCHEZ, GABRIELA LEONOR</t>
  </si>
  <si>
    <t>02 a 04 m 29 d</t>
  </si>
  <si>
    <t>SANCHEZ PEREZ LUZ MELISSA</t>
  </si>
  <si>
    <t>02 a 04 m 30 d</t>
  </si>
  <si>
    <t>TANTALEAN URIARTE, CRISTINA KAROLAY</t>
  </si>
  <si>
    <t>02 a 05 m 00 d</t>
  </si>
  <si>
    <t>NOLE CASTRO, MARIA ELENA</t>
  </si>
  <si>
    <t>02 a 05 m 01 d</t>
  </si>
  <si>
    <t>GONZALES GONZALES NESTOR JESUS</t>
  </si>
  <si>
    <t>02 a 05 m 05 d</t>
  </si>
  <si>
    <t>GARCIA RISCO, VICTOR MANUEL</t>
  </si>
  <si>
    <t>02 a 05 m 06 d</t>
  </si>
  <si>
    <t>LLACSAHUANGA CÓRDOVA, ZAIRA YESENIA</t>
  </si>
  <si>
    <t>02 a 06 m 16 d</t>
  </si>
  <si>
    <t>CANO HERNANDEZ, YAMILETH MARYORI</t>
  </si>
  <si>
    <t>02 a 07 m 09 d</t>
  </si>
  <si>
    <t>LEQUERNAQUE SALAZAR, FABIANA LISBETH</t>
  </si>
  <si>
    <t>02 a 07 m 11 d</t>
  </si>
  <si>
    <t>PALACIOS OVIEDO, GLORIA ESTHEFANY</t>
  </si>
  <si>
    <t>ABAD PAIVA, ISABEL TATIANA</t>
  </si>
  <si>
    <t>02 a 07 m 30 d</t>
  </si>
  <si>
    <t>MURGA GUEVARA, JOSSY XIOMARA</t>
  </si>
  <si>
    <t>02 a 08 m 04 d</t>
  </si>
  <si>
    <t>BACA CORTEZ, KELLY  MARISOL</t>
  </si>
  <si>
    <t>02 a 08 m 16 d</t>
  </si>
  <si>
    <t>DECENA VILLANUEVA, NEVENKA GIANELLA</t>
  </si>
  <si>
    <t>02 a 08 m 22 d</t>
  </si>
  <si>
    <t>LLENQUE YENQUE, LUIS ALBERTO</t>
  </si>
  <si>
    <t>02 a 09 m 02 d</t>
  </si>
  <si>
    <t>MORANTE ZETA, MIRIAM PAOLA</t>
  </si>
  <si>
    <t>02 a 09 m 05 d</t>
  </si>
  <si>
    <t>YOVERA QUISPE, KETTY CLARISSA</t>
  </si>
  <si>
    <t>NAVEROS GONZALEZ, SLANIA ELIZABETH</t>
  </si>
  <si>
    <t>02 a 09 m 06 d</t>
  </si>
  <si>
    <t>SILVA PERALTA, MERILDA GEORGINA</t>
  </si>
  <si>
    <t>02 a 09 m 09 d</t>
  </si>
  <si>
    <t>SERNAQUE RODRIGUEZ, PRISCILA DE LOS MILAGROS</t>
  </si>
  <si>
    <t>02 a 09 m 12 d</t>
  </si>
  <si>
    <t>REYES MORALES, NORA LISBETH</t>
  </si>
  <si>
    <t>02 a 09 m 13 d</t>
  </si>
  <si>
    <t>ALAMA FLORES, GIANELLA DIANA</t>
  </si>
  <si>
    <t>FERNANDEZ GUTIERREZ DE SERNAQUE RAQUEL TABITHA</t>
  </si>
  <si>
    <t>RETO SILVA, LIZBETH KARINA</t>
  </si>
  <si>
    <t>ECHE CHERO, MARIA PAOLA</t>
  </si>
  <si>
    <t>CAYOTOPA VASQUEZ, ESTEFANY KRYSTHEL</t>
  </si>
  <si>
    <t>02 a 09 m 16 d</t>
  </si>
  <si>
    <t>ORTIZ TORRES, PEDRO JAVIER</t>
  </si>
  <si>
    <t>ZAVALETA REYES, CLAUDIA FABIOLA</t>
  </si>
  <si>
    <t>FLORES PALACIOS, PRISCILA ALMENDRA DE LOS MILAG</t>
  </si>
  <si>
    <t>02 a 09 m 19 d</t>
  </si>
  <si>
    <t>TORRES MONTERO, PABLO JHAYR</t>
  </si>
  <si>
    <t>SAIRE SANTOS, MELISSA NATHALY</t>
  </si>
  <si>
    <t>02 a 09 m 23 d</t>
  </si>
  <si>
    <t>BAZAN VIERA, WENDY VERENICE</t>
  </si>
  <si>
    <t>02 a 10 m 22 d</t>
  </si>
  <si>
    <t>MOGOLLON SALVADOR, IRIS YANELY</t>
  </si>
  <si>
    <t>02 a 10 m 23 d</t>
  </si>
  <si>
    <t>VALENCIA NIZAMA, JAZMIN JENNYFER</t>
  </si>
  <si>
    <t>CASTRO VITE, KIARA GABRIELA</t>
  </si>
  <si>
    <t>02 a 10 m 27 d</t>
  </si>
  <si>
    <t>RUIZ ESCOBAR, JORGINHO EDUARDO</t>
  </si>
  <si>
    <t>02 a 10 m 29 d</t>
  </si>
  <si>
    <t>LOPEZ ROSILLO, ANDERSON ALDAIR</t>
  </si>
  <si>
    <t>02 a 10 m 30 d</t>
  </si>
  <si>
    <t>GOMEZ INFANTES, PATRICIA MAGALY</t>
  </si>
  <si>
    <t>02 a 11 m 04 d</t>
  </si>
  <si>
    <t>PADILLA RIMAICUNA, BRIGGITTE ANTUANET</t>
  </si>
  <si>
    <t>03 a 00 m 22 d</t>
  </si>
  <si>
    <t>CASTRO AREVALO, ANELL KYARYD</t>
  </si>
  <si>
    <t>03 a 01 m 00 d</t>
  </si>
  <si>
    <t>OCHOA MOGOLLON, MATHIAS SALVATORE</t>
  </si>
  <si>
    <t>RAMIREZ MIRABAL LEE EDER</t>
  </si>
  <si>
    <t>03 a 01 m 16 d</t>
  </si>
  <si>
    <t>VARGAS BENITES, XIOMARA ISABEL</t>
  </si>
  <si>
    <t>03 a 02 m 06 d</t>
  </si>
  <si>
    <t>CARRASCO CHUNA, JHOANY ROSSY</t>
  </si>
  <si>
    <t>03 a 02 m 11 d</t>
  </si>
  <si>
    <t>CHUQUIHUANGA ANICETO, ESTELITA ABIGAIL</t>
  </si>
  <si>
    <t>03 a 02 m 12 d</t>
  </si>
  <si>
    <t>PURIZACA MOGOLLON, MARÍA NELLY</t>
  </si>
  <si>
    <t>03 a 02 m 13 d</t>
  </si>
  <si>
    <t>VILLACREZ GARCIA, BLANCA ESTELA</t>
  </si>
  <si>
    <t>VIVANCO ALCEDO, CINTIA VANESSA</t>
  </si>
  <si>
    <t>FLORES VASQUEZ, SOLEDAD MARILU</t>
  </si>
  <si>
    <t>03 a 02 m 16 d</t>
  </si>
  <si>
    <t>NAVARRO CIENFUEGOS, PATRICIA DEL PILAR</t>
  </si>
  <si>
    <t>03 a 03 m 09 d</t>
  </si>
  <si>
    <t>GALVEZ MENDOZA, KAREN DEL MILAGRO</t>
  </si>
  <si>
    <t>03 a 04 m 02 d</t>
  </si>
  <si>
    <t>LÁZARO MAZA, YENNYFER CARMEN FLOR</t>
  </si>
  <si>
    <t>03 a 04 m 14 d</t>
  </si>
  <si>
    <t>PASACHE OBLEA, ALBA</t>
  </si>
  <si>
    <t>ECHE TIMANA, ROSA BEATRIZ</t>
  </si>
  <si>
    <t>03 a 04 m 16 d</t>
  </si>
  <si>
    <t>GARCÍA CARBAJAL, ALEXANDRA ANGELA DEL ROCÍO</t>
  </si>
  <si>
    <t>03 a 04 m 28 d</t>
  </si>
  <si>
    <t>GIRON CARHUAMACA, SANDRO GABRIEL</t>
  </si>
  <si>
    <t>03 a 04 m 29 d</t>
  </si>
  <si>
    <t>CASTILLO CONTRERAS, RAQUEL LUCERO</t>
  </si>
  <si>
    <t>03 a 05 m 05 d</t>
  </si>
  <si>
    <t>VILLANUEVA PEREDA, MARITZA FRANCISCA</t>
  </si>
  <si>
    <t>03 a 06 m 15 d</t>
  </si>
  <si>
    <t>SARMIENTO PEREZ, ANYELA ABIGAIL</t>
  </si>
  <si>
    <t>03 a 06 m 25 d</t>
  </si>
  <si>
    <t>TERRONES CHAPOÑAN, KAREN ELENA</t>
  </si>
  <si>
    <t>GUARNIZ CARRIL JHON DARWIN</t>
  </si>
  <si>
    <t>03 a 07 m 01 d</t>
  </si>
  <si>
    <t>FLORES CUNGIA, LIZ MAGALI</t>
  </si>
  <si>
    <t>YOVERA RAMOS, JULIO ALONZO</t>
  </si>
  <si>
    <t>03 a 07 m 03 d</t>
  </si>
  <si>
    <t>MENDOZA RAYMUNDO, NESTOR DEL PIERO</t>
  </si>
  <si>
    <t>03 a 07 m 15 d</t>
  </si>
  <si>
    <t>CALDERÓN ESPINOZA, GEIDY GRAZIELLA</t>
  </si>
  <si>
    <t>03 a 07 m 27 d</t>
  </si>
  <si>
    <t>MOROCHO CRUZ, BRENDA LISSET</t>
  </si>
  <si>
    <t>03 a 08 m 11 d</t>
  </si>
  <si>
    <t>SEMINARIO VERASTEGUI, JUAN CARLOS</t>
  </si>
  <si>
    <t>03 a 08 m 16 d</t>
  </si>
  <si>
    <t>GONZALES DIAZ, JENNIFER</t>
  </si>
  <si>
    <t>03 a 08 m 18 d</t>
  </si>
  <si>
    <t>MORQUENCHO HERRERA, JOHANNA KAROLAY</t>
  </si>
  <si>
    <t>03 a 08 m 27 d</t>
  </si>
  <si>
    <t>NIMA SALAZAR, EVELYN JACKELINE</t>
  </si>
  <si>
    <t>CASTRO MOGOLLON, VANIA KAROLAY</t>
  </si>
  <si>
    <t>03 a 08 m 29 d</t>
  </si>
  <si>
    <t>PULACHE SUÁREZ, JUAN PABLO</t>
  </si>
  <si>
    <t>03 a 10 m 06 d</t>
  </si>
  <si>
    <t>ARBULU ZEA DE MARIÑO, KARLA STEFANY</t>
  </si>
  <si>
    <t>03 a 11 m 16 d</t>
  </si>
  <si>
    <t>BONILLA BONILLA, ERICK STEVE</t>
  </si>
  <si>
    <t>CAICEDO CUMPA, KEVIN YAMIR</t>
  </si>
  <si>
    <t>CHICOMA NAVEDA, STEPHANIE JUDITH</t>
  </si>
  <si>
    <t>DIAZ QUIROZ, JOSE GALENO</t>
  </si>
  <si>
    <t>GOMEZ GUERRERO, MARIA ASUNCIONA</t>
  </si>
  <si>
    <t>HUARIPATA SALAZAR, CESAR MANUEL</t>
  </si>
  <si>
    <t>HUARIPATA SILVA, KAREN NICOL</t>
  </si>
  <si>
    <t>NIQUEN JARAMILLO, ANA MARIA DEL PILAR</t>
  </si>
  <si>
    <t>PISCOYA VILLALOBOS, JACKELIN ELIZABETH</t>
  </si>
  <si>
    <t>QUIROZ LOCONI, FABIOLA ESTEFANY</t>
  </si>
  <si>
    <t>RODAS PALOMINO, ANITA ARLIZ</t>
  </si>
  <si>
    <t>SAMILLAN PEREZ, GUADALUPE MARICIELO</t>
  </si>
  <si>
    <t>SUYON SUAREZ, MARILIN  SARITA</t>
  </si>
  <si>
    <t>NAVEZ BENITES, TANIA MIRELLA</t>
  </si>
  <si>
    <t>TELLO CARBAJAL, KARINA DEL MILAGRO</t>
  </si>
  <si>
    <t>AZABACHE VERGARA, GEISER MARIA</t>
  </si>
  <si>
    <t>CASTRO AVALOS, JENNIFER JESSICA</t>
  </si>
  <si>
    <t>CORTIJO RODRIGUEZ, YAMILL SOLANGHE</t>
  </si>
  <si>
    <t>CRUZ BACILIO, SARA HAYDI</t>
  </si>
  <si>
    <t>CRUZADO CAIPO, NELLY FORTUNATA</t>
  </si>
  <si>
    <t>FLORES REYNA, MARIA ELENA</t>
  </si>
  <si>
    <t>GUTIERREZ ELERA, DIANA KATHERINE</t>
  </si>
  <si>
    <t>LAVADO CASTILLO, VELSI ANAIS</t>
  </si>
  <si>
    <t>LOPEZ SANCHEZ, JESSENIA CATHERINE</t>
  </si>
  <si>
    <t>MARQUINA NEYRA, MAYLLY KIMBERLY</t>
  </si>
  <si>
    <t>MORAN AGUIRRE, LISETH MAYDOLY</t>
  </si>
  <si>
    <t>OBESO MALACAS, GIOVANNI FREIZER</t>
  </si>
  <si>
    <t>ROMERO CHIROQUE, CELIA ELIZABETH</t>
  </si>
  <si>
    <t>TANTA RÍOS, GILIA KARINA</t>
  </si>
  <si>
    <t>VALDIVIA TORRES, KARINA JOHANA</t>
  </si>
  <si>
    <t>VALVERDE RODRIGUEZ, YANELA NICOL</t>
  </si>
  <si>
    <t>VEGA GARCÍA, FRANK ANTHONY</t>
  </si>
  <si>
    <t>VERA URQUIAGA, GIULIANA JENNIFER</t>
  </si>
  <si>
    <t>PUICON CHAVESTA, IVONNE JACKELINE</t>
  </si>
  <si>
    <t>VASQUEZ DE LA PIEDRA, EBERTH JUNIOR</t>
  </si>
  <si>
    <t>YAURE LOPEZ, MALU  SIRIA</t>
  </si>
  <si>
    <t>CRUZ CASTILLO, ROSA</t>
  </si>
  <si>
    <t>PAZOS RAMIREZ, CINTHIA ELIZABETH</t>
  </si>
  <si>
    <t>ZETA TEMOCHE DE MORAN, FLOR  MARIA</t>
  </si>
  <si>
    <t>CORDOVA HUAMAN, JOSSELY JESUS</t>
  </si>
  <si>
    <t>GARCIA VILELA, FERNANDO JAVIER</t>
  </si>
  <si>
    <t>NAMUCHE ZAPATA, ANDERSSON ALBERTO</t>
  </si>
  <si>
    <t>TOCTO CAMPOVERDE, DALILA</t>
  </si>
  <si>
    <t>ZAPATA LEYTON DE YACILA, ROSA ELENA</t>
  </si>
  <si>
    <t>ZAPATA PERALTA, MARY ALISON</t>
  </si>
  <si>
    <t>ZUÑIGA FLORES, JULIO CESAR</t>
  </si>
  <si>
    <t>FLORES LOPEZ, LUCY LIZBET</t>
  </si>
  <si>
    <t>GUTIERREZ NAVARRO, CHRIS YOLISET</t>
  </si>
  <si>
    <t>RIVERA FIGUEROA, MONICA MARIEL</t>
  </si>
  <si>
    <t>VILLAR FLORES, MARíA ISABEL</t>
  </si>
  <si>
    <t>ZAPATA SILVA, SHIRLEY ROSMERY</t>
  </si>
  <si>
    <t>ANTEZANA TÁVARA, KAREN YESSENIA</t>
  </si>
  <si>
    <t>DEZAR CARMEN, ADERLY</t>
  </si>
  <si>
    <t>ESTRADA BARRETO, DYRCY YULIANA</t>
  </si>
  <si>
    <t>GOMEZ VALVERDE, CARLOS ENRIQUE</t>
  </si>
  <si>
    <t>HIDALGO ECHE, GERSOM HAIR</t>
  </si>
  <si>
    <t>MACHARÉ MOGOLLÓN, ESTEFANY YAJAIRA</t>
  </si>
  <si>
    <t>PERALTA CORONADO, MILAGROS LILIANA</t>
  </si>
  <si>
    <t>VALDIVIA BENITES, VANIA LUCIA</t>
  </si>
  <si>
    <t>AGURTO MARCHAN, SHEYLA DEL PILAR</t>
  </si>
  <si>
    <t>ANTON PURIZACA, HERMINIA NOELIA</t>
  </si>
  <si>
    <t>BAYONA POMA, GERALDINE INMACULADA</t>
  </si>
  <si>
    <t>CHALCO TABOADA, SARITA ELIZABETH</t>
  </si>
  <si>
    <t>CORREA YACILA, ROCIO AZUCENA</t>
  </si>
  <si>
    <t>FIESTAS AZALDEGUI, JENNIFER PIERINA</t>
  </si>
  <si>
    <t>FIESTAS VIVAS, DEMMY YACIRA</t>
  </si>
  <si>
    <t>MAURICIO VILLAR, SIDNEY LISBETH</t>
  </si>
  <si>
    <t>RUIZ GARCIA, FIORELLA LIZBETH</t>
  </si>
  <si>
    <t>SULLON LADINES, JULEISY JUNICOL</t>
  </si>
  <si>
    <t>VERGARA VALLADARES, GISSELA  LOURDES</t>
  </si>
  <si>
    <t>CHEVEZ ROJAS, ANTONY JUNIOR</t>
  </si>
  <si>
    <t>DELGADO ARTEAGA, WENDY BEATRIZ</t>
  </si>
  <si>
    <t>MADRID PEÑA, MARGOTH NOEMI</t>
  </si>
  <si>
    <t>RODRIGUEZ MORAN, ELY LIZETH</t>
  </si>
  <si>
    <t>VILLALTA MORÁN, CAMILA LISBETH</t>
  </si>
  <si>
    <t>GOMEZ IPANAQUE BILLY</t>
  </si>
  <si>
    <t>05 a 03 m 05 d</t>
  </si>
  <si>
    <t>cat_meses</t>
  </si>
  <si>
    <t>Etiquetas de fila</t>
  </si>
  <si>
    <t>0 a 3 meses</t>
  </si>
  <si>
    <t>1 año a 2 años</t>
  </si>
  <si>
    <t>3 meses a 6 meses</t>
  </si>
  <si>
    <t>6 meses a 12 meses</t>
  </si>
  <si>
    <t>mayor a 2 años</t>
  </si>
  <si>
    <t>Total general</t>
  </si>
  <si>
    <t>Promedio de Unid x Minuto</t>
  </si>
  <si>
    <t>Cuenta de Colaborador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</si>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</sst>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0" fontId="0" fillId="0" borderId="0" xfId="0" applyNumberFormat="1"/>
    <xf numFmtId="22" fontId="0" fillId="0" borderId="0" xfId="0" applyNumberFormat="1"/>
    <xf numFmtId="43" fontId="0" fillId="33" borderId="0" xfId="1" applyFont="1" applyFill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34" borderId="0" xfId="0" applyNumberFormat="1" applyFill="1" applyAlignment="1">
      <alignment horizontal="center" vertical="center"/>
    </xf>
    <xf numFmtId="165" fontId="0" fillId="35" borderId="0" xfId="0" applyNumberFormat="1" applyFill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165" fontId="0" fillId="36" borderId="0" xfId="0" applyNumberFormat="1" applyFill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89">
    <dxf>
      <numFmt numFmtId="164" formatCode="_-* #,##0.0_-;\-* #,##0.0_-;_-* &quot;-&quot;??_-;_-@_-"/>
    </dxf>
    <dxf>
      <numFmt numFmtId="165" formatCode="0.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numFmt numFmtId="165" formatCode="0.0"/>
    </dxf>
    <dxf>
      <alignment vertic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4" formatCode="_-* #,##0.0_-;\-* #,##0.0_-;_-* &quot;-&quot;??_-;_-@_-"/>
    </dxf>
    <dxf>
      <numFmt numFmtId="165" formatCode="0.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numFmt numFmtId="165" formatCode="0.0"/>
    </dxf>
    <dxf>
      <alignment vertic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4" formatCode="_-* #,##0.0_-;\-* #,##0.0_-;_-* &quot;-&quot;??_-;_-@_-"/>
    </dxf>
    <dxf>
      <numFmt numFmtId="1" formatCode="0"/>
    </dxf>
    <dxf>
      <numFmt numFmtId="165" formatCode="0.0"/>
    </dxf>
    <dxf>
      <numFmt numFmtId="164" formatCode="_-* #,##0.0_-;\-* #,##0.0_-;_-* &quot;-&quot;??_-;_-@_-"/>
    </dxf>
    <dxf>
      <numFmt numFmtId="165" formatCode="0.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numFmt numFmtId="165" formatCode="0.0"/>
    </dxf>
    <dxf>
      <alignment vertic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4" formatCode="_-* #,##0.0_-;\-* #,##0.0_-;_-* &quot;-&quot;??_-;_-@_-"/>
    </dxf>
    <dxf>
      <numFmt numFmtId="1" formatCode="0"/>
    </dxf>
    <dxf>
      <numFmt numFmtId="165" formatCode="0.0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alignment horizontal="center"/>
    </dxf>
    <dxf>
      <alignment vertical="center"/>
    </dxf>
    <dxf>
      <numFmt numFmtId="2" formatCode="0.00"/>
    </dxf>
    <dxf>
      <numFmt numFmtId="165" formatCode="0.0"/>
    </dxf>
    <dxf>
      <numFmt numFmtId="164" formatCode="_-* #,##0.0_-;\-* #,##0.0_-;_-* &quot;-&quot;??_-;_-@_-"/>
    </dxf>
    <dxf>
      <numFmt numFmtId="165" formatCode="0.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numFmt numFmtId="2" formatCode="0.00"/>
    </dxf>
    <dxf>
      <numFmt numFmtId="164" formatCode="_-* #,##0.0_-;\-* #,##0.0_-;_-* &quot;-&quot;??_-;_-@_-"/>
    </dxf>
    <dxf>
      <numFmt numFmtId="165" formatCode="0.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4" formatCode="_-* #,##0.0_-;\-* #,##0.0_-;_-* &quot;-&quot;??_-;_-@_-"/>
    </dxf>
    <dxf>
      <numFmt numFmtId="1" formatCode="0"/>
    </dxf>
    <dxf>
      <numFmt numFmtId="165" formatCode="0.0"/>
    </dxf>
    <dxf>
      <numFmt numFmtId="164" formatCode="_-* #,##0.0_-;\-* #,##0.0_-;_-* &quot;-&quot;??_-;_-@_-"/>
    </dxf>
    <dxf>
      <numFmt numFmtId="1" formatCode="0"/>
    </dxf>
    <dxf>
      <numFmt numFmtId="165" formatCode="0.0"/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4" formatCode="_-* #,##0.0_-;\-* #,##0.0_-;_-* &quot;-&quot;??_-;_-@_-"/>
    </dxf>
    <dxf>
      <numFmt numFmtId="165" formatCode="0.0"/>
    </dxf>
    <dxf>
      <numFmt numFmtId="165" formatCode="0.0"/>
    </dxf>
    <dxf>
      <numFmt numFmtId="1" formatCode="0"/>
    </dxf>
    <dxf>
      <numFmt numFmtId="164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[Ranking de Velocidad Cajero jujn.xlsx]Resumen!TablaDinámica5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7131669114047791E-2"/>
              <c:y val="6.0185185185185161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Resumen!$C$3</c:f>
              <c:strCache>
                <c:ptCount val="1"/>
                <c:pt idx="0">
                  <c:v>Promedio de Unid x Minuto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Resumen!$B$4:$B$9</c:f>
              <c:strCache>
                <c:ptCount val="5"/>
                <c:pt idx="0">
                  <c:v>0 a 3 meses</c:v>
                </c:pt>
                <c:pt idx="1">
                  <c:v>3 meses a 6 meses</c:v>
                </c:pt>
                <c:pt idx="2">
                  <c:v>6 meses a 12 meses</c:v>
                </c:pt>
                <c:pt idx="3">
                  <c:v>1 año a 2 años</c:v>
                </c:pt>
                <c:pt idx="4">
                  <c:v>mayor a 2 años</c:v>
                </c:pt>
              </c:strCache>
            </c:strRef>
          </c:cat>
          <c:val>
            <c:numRef>
              <c:f>Resumen!$C$4:$C$9</c:f>
              <c:numCache>
                <c:formatCode>0.0</c:formatCode>
                <c:ptCount val="5"/>
                <c:pt idx="0">
                  <c:v>13.308648648648646</c:v>
                </c:pt>
                <c:pt idx="1">
                  <c:v>14.213181818181821</c:v>
                </c:pt>
                <c:pt idx="2">
                  <c:v>14.596122448979594</c:v>
                </c:pt>
                <c:pt idx="3">
                  <c:v>14.363333333333335</c:v>
                </c:pt>
                <c:pt idx="4">
                  <c:v>15.449880952380949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F-466E-9CD9-484CBBE852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19506735"/>
        <c:axId val="2019514415"/>
      </c:barChart>
      <c:lineChart>
        <c:grouping val="standard"/>
        <c:varyColors val="0"/>
        <c:ser>
          <c:idx val="1"/>
          <c:order val="1"/>
          <c:tx>
            <c:strRef>
              <c:f>Resumen!$D$3</c:f>
              <c:strCache>
                <c:ptCount val="1"/>
                <c:pt idx="0">
                  <c:v>Cuenta de Colaborador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1.7131669114047791E-2"/>
                  <c:y val="6.0185185185185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4F-466E-9CD9-484CBBE8529F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Resumen!$B$4:$B$9</c:f>
              <c:strCache>
                <c:ptCount val="5"/>
                <c:pt idx="0">
                  <c:v>0 a 3 meses</c:v>
                </c:pt>
                <c:pt idx="1">
                  <c:v>3 meses a 6 meses</c:v>
                </c:pt>
                <c:pt idx="2">
                  <c:v>6 meses a 12 meses</c:v>
                </c:pt>
                <c:pt idx="3">
                  <c:v>1 año a 2 años</c:v>
                </c:pt>
                <c:pt idx="4">
                  <c:v>mayor a 2 años</c:v>
                </c:pt>
              </c:strCache>
            </c:strRef>
          </c:cat>
          <c:val>
            <c:numRef>
              <c:f>Resumen!$D$4:$D$9</c:f>
              <c:numCache>
                <c:formatCode>0</c:formatCode>
                <c:ptCount val="5"/>
                <c:pt idx="0">
                  <c:v>37</c:v>
                </c:pt>
                <c:pt idx="1">
                  <c:v>22</c:v>
                </c:pt>
                <c:pt idx="2">
                  <c:v>49</c:v>
                </c:pt>
                <c:pt idx="3">
                  <c:v>42</c:v>
                </c:pt>
                <c:pt idx="4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4F-466E-9CD9-484CBBE852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6964479"/>
        <c:axId val="316966879"/>
      </c:lineChart>
      <c:catAx>
        <c:axId val="201950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19514415"/>
        <c:crosses val="autoZero"/>
        <c:auto val="1"/>
        <c:lblAlgn val="ctr"/>
        <c:lblOffset val="100"/>
        <c:noMultiLvlLbl val="0"/>
      </c:catAx>
      <c:valAx>
        <c:axId val="20195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19506735"/>
        <c:crosses val="autoZero"/>
        <c:crossBetween val="between"/>
      </c:valAx>
      <c:valAx>
        <c:axId val="31696687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6964479"/>
        <c:crosses val="max"/>
        <c:crossBetween val="between"/>
      </c:valAx>
      <c:catAx>
        <c:axId val="316964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69668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0</xdr:row>
      <xdr:rowOff>133350</xdr:rowOff>
    </xdr:from>
    <xdr:to>
      <xdr:col>6</xdr:col>
      <xdr:colOff>228600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4A12C0-339A-D32C-0EF8-AF1B822DA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350520</xdr:colOff>
      <xdr:row>0</xdr:row>
      <xdr:rowOff>152400</xdr:rowOff>
    </xdr:from>
    <xdr:to>
      <xdr:col>8</xdr:col>
      <xdr:colOff>312420</xdr:colOff>
      <xdr:row>16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Local">
              <a:extLst>
                <a:ext uri="{FF2B5EF4-FFF2-40B4-BE49-F238E27FC236}">
                  <a16:creationId xmlns:a16="http://schemas.microsoft.com/office/drawing/2014/main" id="{401B2060-D8D4-1402-E302-B0257CB0CA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3260" y="152400"/>
              <a:ext cx="1828800" cy="2910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90.572812962964" createdVersion="8" refreshedVersion="8" minRefreshableVersion="3" recordCount="318" xr:uid="{48E773D0-2070-43CC-89DC-FD3FA3299B0B}">
  <cacheSource type="worksheet">
    <worksheetSource ref="A1:O319" sheet="BaseDatos"/>
  </cacheSource>
  <cacheFields count="15">
    <cacheField name="Local" numFmtId="0">
      <sharedItems count="11">
        <s v="Nvo Chimbote - PVH"/>
        <s v="Chiclayo Aventura - PVH"/>
        <s v="Talara - PVH"/>
        <s v="Sullana - PVH"/>
        <s v="Tumbes - PVH"/>
        <s v="Piura - PVH"/>
        <s v="Chimbote - PVH"/>
        <s v="Paita - PVH"/>
        <s v="El Chacarero - PVH"/>
        <s v="Chiclayo - PVH"/>
        <s v="Talara Municipalidad - PVH"/>
      </sharedItems>
    </cacheField>
    <cacheField name="Cod" numFmtId="0">
      <sharedItems containsSemiMixedTypes="0" containsString="0" containsNumber="1" containsInteger="1" minValue="2" maxValue="1048"/>
    </cacheField>
    <cacheField name="Colaborador" numFmtId="0">
      <sharedItems/>
    </cacheField>
    <cacheField name="Puesto" numFmtId="0">
      <sharedItems/>
    </cacheField>
    <cacheField name="Cant. trx" numFmtId="0">
      <sharedItems containsSemiMixedTypes="0" containsString="0" containsNumber="1" containsInteger="1" minValue="23" maxValue="3718"/>
    </cacheField>
    <cacheField name="Unid x Minuto" numFmtId="0">
      <sharedItems containsSemiMixedTypes="0" containsString="0" containsNumber="1" minValue="7.28" maxValue="38.14"/>
    </cacheField>
    <cacheField name="Meta por Tienda" numFmtId="0">
      <sharedItems containsSemiMixedTypes="0" containsString="0" containsNumber="1" containsInteger="1" minValue="14" maxValue="28"/>
    </cacheField>
    <cacheField name="Cumplimiento" numFmtId="10">
      <sharedItems containsSemiMixedTypes="0" containsString="0" containsNumber="1" minValue="0.4829" maxValue="2.5299"/>
    </cacheField>
    <cacheField name="Permanencia" numFmtId="0">
      <sharedItems/>
    </cacheField>
    <cacheField name="F.Ingr" numFmtId="22">
      <sharedItems containsSemiMixedTypes="0" containsNonDate="0" containsDate="1" containsString="0" minDate="2021-03-12T00:00:00" maxDate="2026-06-16T00:00:00"/>
    </cacheField>
    <cacheField name="F.Cese" numFmtId="0">
      <sharedItems containsSemiMixedTypes="0" containsNonDate="0" containsDate="1" containsString="0" minDate="2025-02-28T00:00:00" maxDate="2026-06-17T00:00:00"/>
    </cacheField>
    <cacheField name="Estado" numFmtId="0">
      <sharedItems/>
    </cacheField>
    <cacheField name="cel" numFmtId="0">
      <sharedItems containsString="0" containsBlank="1" containsNumber="1" containsInteger="1" minValue="1" maxValue="9664"/>
    </cacheField>
    <cacheField name="cat_meses" numFmtId="0">
      <sharedItems count="5">
        <s v="0 a 3 meses"/>
        <s v="3 meses a 6 meses"/>
        <s v="6 meses a 12 meses"/>
        <s v="1 año a 2 años"/>
        <s v="mayor a 2 años"/>
      </sharedItems>
    </cacheField>
    <cacheField name="_MesesPermanencia" numFmtId="43">
      <sharedItems containsSemiMixedTypes="0" containsString="0" containsNumber="1" minValue="0" maxValue="64.066666666666663"/>
    </cacheField>
  </cacheFields>
  <extLst>
    <ext xmlns:x14="http://schemas.microsoft.com/office/spreadsheetml/2009/9/main" uri="{725AE2AE-9491-48be-B2B4-4EB974FC3084}">
      <x14:pivotCacheDefinition pivotCacheId="11386871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n v="923"/>
    <s v="VALENCIA DIAZ, SURI PAULA"/>
    <s v="CAJERO 5X2 2DO TURNO"/>
    <n v="90"/>
    <n v="9.49"/>
    <n v="14"/>
    <n v="0.62919999999999998"/>
    <s v="00 a 00 m 02 d"/>
    <d v="2026-06-15T00:00:00"/>
    <d v="2026-01-04T00:00:00"/>
    <s v="Activo"/>
    <m/>
    <x v="0"/>
    <n v="0"/>
  </r>
  <r>
    <x v="0"/>
    <n v="918"/>
    <s v="GOMEZ VALDEZ, CESAR ENRIQUE"/>
    <s v="CAJERO 5X2 2DO TURNO"/>
    <n v="251"/>
    <n v="7.28"/>
    <n v="14"/>
    <n v="0.4829"/>
    <s v="00 a 00 m 05 d"/>
    <d v="2026-06-12T00:00:00"/>
    <d v="2026-06-16T00:00:00"/>
    <s v="Activo"/>
    <n v="312"/>
    <x v="0"/>
    <n v="0.13333333333333333"/>
  </r>
  <r>
    <x v="1"/>
    <n v="225"/>
    <s v="HUAMAN VALQUI, MARISOL LEYDY"/>
    <s v="CAJERO 5X2 2DO TURNO"/>
    <n v="86"/>
    <n v="8.73"/>
    <n v="14"/>
    <n v="0.57869999999999999"/>
    <s v="00 a 00 m 13 d"/>
    <d v="2026-06-04T00:00:00"/>
    <d v="2026-06-16T00:00:00"/>
    <s v="Activo"/>
    <n v="80"/>
    <x v="0"/>
    <n v="0.4"/>
  </r>
  <r>
    <x v="1"/>
    <n v="224"/>
    <s v="PERICHE ALAMA, FERNANDA LUCIA"/>
    <s v="CAJERO 5X2 1ER TURNO"/>
    <n v="142"/>
    <n v="7.85"/>
    <n v="14"/>
    <n v="0.52039999999999997"/>
    <s v="00 a 00 m 13 d"/>
    <d v="2026-06-04T00:00:00"/>
    <d v="2026-06-16T00:00:00"/>
    <s v="Activo"/>
    <m/>
    <x v="0"/>
    <n v="0.4"/>
  </r>
  <r>
    <x v="2"/>
    <n v="13"/>
    <s v="BOULANGGER MOGOLLON, YOVANY GEORSINY"/>
    <s v="CAJERO 5X2 1ER TURNO"/>
    <n v="750"/>
    <n v="15.13"/>
    <n v="14"/>
    <n v="1.0038"/>
    <s v="00 a 00 m 16 d"/>
    <d v="2026-06-01T00:00:00"/>
    <d v="2026-05-31T00:00:00"/>
    <s v="Activo"/>
    <n v="1716"/>
    <x v="0"/>
    <n v="0"/>
  </r>
  <r>
    <x v="3"/>
    <n v="164"/>
    <s v="SULLON GARCIA, RUTH GIANELLA"/>
    <s v="CAJERO 5X2 2DO TURNO"/>
    <n v="815"/>
    <n v="14.58"/>
    <n v="28"/>
    <n v="0.96679999999999999"/>
    <s v="00 a 00 m 19 d"/>
    <d v="2026-05-29T00:00:00"/>
    <d v="2026-06-16T00:00:00"/>
    <s v="Activo"/>
    <n v="3254"/>
    <x v="0"/>
    <n v="0.6"/>
  </r>
  <r>
    <x v="3"/>
    <n v="165"/>
    <s v="TEMOCHE VALLE, GERALDINE AUDELIA"/>
    <s v="CAJERO 5X2 2DO TURNO"/>
    <n v="751"/>
    <n v="11.26"/>
    <n v="28"/>
    <n v="0.74670000000000003"/>
    <s v="00 a 00 m 19 d"/>
    <d v="2026-05-29T00:00:00"/>
    <d v="2026-06-16T00:00:00"/>
    <s v="Activo"/>
    <n v="1896"/>
    <x v="0"/>
    <n v="0.6"/>
  </r>
  <r>
    <x v="4"/>
    <n v="258"/>
    <s v="SIANCAS LITANO, JACKELINE PAOLA"/>
    <s v="CAJERO 5X2 1ER TURNO"/>
    <n v="653"/>
    <n v="8.3699999999999992"/>
    <n v="14"/>
    <n v="0.55530000000000002"/>
    <s v="00 a 00 m 19 d"/>
    <d v="2026-05-29T00:00:00"/>
    <d v="2026-06-16T00:00:00"/>
    <s v="Activo"/>
    <n v="776"/>
    <x v="0"/>
    <n v="0.6"/>
  </r>
  <r>
    <x v="0"/>
    <n v="913"/>
    <s v="ZAPATA LAZO, ADRIANA ROSABEL"/>
    <s v="CAJERO 5X2 2DO TURNO"/>
    <n v="1340"/>
    <n v="12.01"/>
    <n v="14"/>
    <n v="0.79649999999999999"/>
    <s v="00 a 00 m 20 d"/>
    <d v="2026-05-28T00:00:00"/>
    <d v="2026-06-16T00:00:00"/>
    <s v="Activo"/>
    <n v="828"/>
    <x v="0"/>
    <n v="0.6333333333333333"/>
  </r>
  <r>
    <x v="5"/>
    <n v="706"/>
    <s v="ALVA BARRIENTOS, DANIELA DEL PILAR"/>
    <s v="CAJERO 3X4"/>
    <n v="400"/>
    <n v="11.05"/>
    <n v="14"/>
    <n v="0.73299999999999998"/>
    <s v="00 a 01 m 02 d"/>
    <d v="2026-05-15T00:00:00"/>
    <d v="2026-06-16T00:00:00"/>
    <s v="Activo"/>
    <n v="7"/>
    <x v="0"/>
    <n v="1.0666666666666667"/>
  </r>
  <r>
    <x v="5"/>
    <n v="705"/>
    <s v="CORNEJO QUEZADA, NAYOVI ALEJANDRA"/>
    <s v="CAJERO 3X4"/>
    <n v="911"/>
    <n v="11.03"/>
    <n v="14"/>
    <n v="0.73170000000000002"/>
    <s v="00 a 01 m 02 d"/>
    <d v="2026-05-15T00:00:00"/>
    <d v="2026-06-16T00:00:00"/>
    <s v="Activo"/>
    <n v="17"/>
    <x v="0"/>
    <n v="1.0666666666666667"/>
  </r>
  <r>
    <x v="5"/>
    <n v="707"/>
    <s v="MARCHAN ROMERO, REBECA YAMILEILY"/>
    <s v="CAJERO 5X2"/>
    <n v="1275"/>
    <n v="13.01"/>
    <n v="14"/>
    <n v="0.86299999999999999"/>
    <s v="00 a 01 m 02 d"/>
    <d v="2026-05-15T00:00:00"/>
    <d v="2026-06-16T00:00:00"/>
    <s v="Activo"/>
    <n v="12"/>
    <x v="0"/>
    <n v="1.0666666666666667"/>
  </r>
  <r>
    <x v="0"/>
    <n v="912"/>
    <s v="DIAZ CALLIRGOS, ITALO RENATO"/>
    <s v="CAJERO 3X4"/>
    <n v="774"/>
    <n v="10.7"/>
    <n v="14"/>
    <n v="0.71"/>
    <s v="00 a 01 m 03 d"/>
    <d v="2026-05-14T00:00:00"/>
    <d v="2026-06-16T00:00:00"/>
    <s v="Activo"/>
    <n v="1408"/>
    <x v="0"/>
    <n v="1.1000000000000001"/>
  </r>
  <r>
    <x v="1"/>
    <n v="223"/>
    <s v="CHICOMA AQUINO, FRANCISCO ALEXANDER"/>
    <s v="CAJERO 5X2 2DO TURNO"/>
    <n v="1479"/>
    <n v="14.87"/>
    <n v="14"/>
    <n v="0.98650000000000004"/>
    <s v="00 a 01 m 20 d"/>
    <d v="2026-04-28T00:00:00"/>
    <d v="2026-06-16T00:00:00"/>
    <s v="Activo"/>
    <n v="1276"/>
    <x v="0"/>
    <n v="1.6333333333333333"/>
  </r>
  <r>
    <x v="6"/>
    <n v="292"/>
    <s v="CERON QUIROZ, FABRIZIO URIOL"/>
    <s v="CAJERO 5X2 2DO TURNO"/>
    <n v="1292"/>
    <n v="23.66"/>
    <n v="15"/>
    <n v="1.569"/>
    <s v="00 a 01 m 25 d"/>
    <d v="2026-04-23T00:00:00"/>
    <d v="2026-06-16T00:00:00"/>
    <s v="Activo"/>
    <n v="6986"/>
    <x v="0"/>
    <n v="1.8"/>
  </r>
  <r>
    <x v="6"/>
    <n v="291"/>
    <s v="PEÑARANDA COBIAN, MARCELO ESTEFANO"/>
    <s v="CAJERO 5X2 1ER TURNO"/>
    <n v="989"/>
    <n v="10.74"/>
    <n v="15"/>
    <n v="0.71250000000000002"/>
    <s v="00 a 01 m 25 d"/>
    <d v="2026-04-23T00:00:00"/>
    <d v="2026-06-16T00:00:00"/>
    <s v="Activo"/>
    <n v="2"/>
    <x v="0"/>
    <n v="1.8"/>
  </r>
  <r>
    <x v="3"/>
    <n v="163"/>
    <s v="MENDEZ CASTRO, MICHELLE"/>
    <s v="CAJERO 5X2"/>
    <n v="1238"/>
    <n v="23.99"/>
    <n v="28"/>
    <n v="1.5909"/>
    <s v="00 a 01 m 26 d"/>
    <d v="2026-04-22T00:00:00"/>
    <d v="2026-06-16T00:00:00"/>
    <s v="Activo"/>
    <n v="8163"/>
    <x v="0"/>
    <n v="1.8333333333333333"/>
  </r>
  <r>
    <x v="3"/>
    <n v="162"/>
    <s v="NAVARRO PAZO, CINTHIA ARACELY"/>
    <s v="CAJERO 5X2 2DO TURNO"/>
    <n v="1334"/>
    <n v="14.42"/>
    <n v="28"/>
    <n v="0.95650000000000002"/>
    <s v="00 a 01 m 26 d"/>
    <d v="2026-04-22T00:00:00"/>
    <d v="2026-06-16T00:00:00"/>
    <s v="Activo"/>
    <n v="2185"/>
    <x v="0"/>
    <n v="1.8333333333333333"/>
  </r>
  <r>
    <x v="6"/>
    <n v="287"/>
    <s v="RODRIGUEZ PARDO, PAMELA ALEXA"/>
    <s v="CAJERO 5X2 2DO TURNO"/>
    <n v="1410"/>
    <n v="13.82"/>
    <n v="15"/>
    <n v="0.9163"/>
    <s v="00 a 02 m 00 d"/>
    <d v="2026-04-17T00:00:00"/>
    <d v="2026-06-16T00:00:00"/>
    <s v="Activo"/>
    <n v="705"/>
    <x v="0"/>
    <n v="2"/>
  </r>
  <r>
    <x v="6"/>
    <n v="288"/>
    <s v="RODRIGUEZ URCIA, MANUEL ANTHONY"/>
    <s v="CAJERO 5X2 2DO TURNO"/>
    <n v="1102"/>
    <n v="13.22"/>
    <n v="15"/>
    <n v="0.87690000000000001"/>
    <s v="00 a 02 m 00 d"/>
    <d v="2026-04-17T00:00:00"/>
    <d v="2026-06-16T00:00:00"/>
    <s v="Activo"/>
    <n v="1618"/>
    <x v="0"/>
    <n v="2"/>
  </r>
  <r>
    <x v="6"/>
    <n v="289"/>
    <s v="SAYES VILCHEZ, EVELYN JUDITH"/>
    <s v="CAJERO 5X2 2DO TURNO"/>
    <n v="849"/>
    <n v="12.05"/>
    <n v="15"/>
    <n v="0.79949999999999999"/>
    <s v="00 a 02 m 00 d"/>
    <d v="2026-04-17T00:00:00"/>
    <d v="2026-06-16T00:00:00"/>
    <s v="Activo"/>
    <n v="2"/>
    <x v="0"/>
    <n v="2"/>
  </r>
  <r>
    <x v="6"/>
    <n v="290"/>
    <s v="ULLOA CONTRERAS, JHEFERSON JULINHO"/>
    <s v="CAJERO 3X4"/>
    <n v="940"/>
    <n v="14.9"/>
    <n v="15"/>
    <n v="0.98819999999999997"/>
    <s v="00 a 02 m 00 d"/>
    <d v="2026-04-17T00:00:00"/>
    <d v="2026-06-16T00:00:00"/>
    <s v="Activo"/>
    <n v="1420"/>
    <x v="0"/>
    <n v="2"/>
  </r>
  <r>
    <x v="5"/>
    <n v="704"/>
    <s v="CHIROQUE OLIVARES, ALEXANDRA BELEN"/>
    <s v="CAJERO 5X2 1ER TURNO"/>
    <n v="1268"/>
    <n v="14.11"/>
    <n v="14"/>
    <n v="0.93610000000000004"/>
    <s v="00 a 02 m 01 d"/>
    <d v="2026-04-16T00:00:00"/>
    <d v="2026-06-16T00:00:00"/>
    <s v="Activo"/>
    <n v="23"/>
    <x v="0"/>
    <n v="2.0333333333333332"/>
  </r>
  <r>
    <x v="5"/>
    <n v="703"/>
    <s v="SANTIAGO ABAD, ARIANA MICHELL"/>
    <s v="CAJERO 5X2 1ER TURNO"/>
    <n v="1456"/>
    <n v="13.56"/>
    <n v="14"/>
    <n v="0.89970000000000006"/>
    <s v="00 a 02 m 01 d"/>
    <d v="2026-04-16T00:00:00"/>
    <d v="2026-06-16T00:00:00"/>
    <s v="Activo"/>
    <n v="48"/>
    <x v="0"/>
    <n v="2.0333333333333332"/>
  </r>
  <r>
    <x v="5"/>
    <n v="26"/>
    <s v="CABRERA VALLE, MARÍA FERNANDA"/>
    <s v="CAJERO 5X2 1ER TURNO"/>
    <n v="1300"/>
    <n v="12.24"/>
    <n v="14"/>
    <n v="0.81200000000000006"/>
    <s v="00 a 02 m 08 d"/>
    <d v="2026-04-09T00:00:00"/>
    <d v="2026-06-16T00:00:00"/>
    <s v="Activo"/>
    <n v="27"/>
    <x v="0"/>
    <n v="2.2666666666666666"/>
  </r>
  <r>
    <x v="5"/>
    <n v="25"/>
    <s v="LIZANA CRUZ, GIANELLA MILAGROS"/>
    <s v="CAJERO 5X2 2DO TURNO"/>
    <n v="1558"/>
    <n v="13.87"/>
    <n v="14"/>
    <n v="0.92010000000000003"/>
    <s v="00 a 02 m 09 d"/>
    <d v="2026-04-08T00:00:00"/>
    <d v="2026-06-16T00:00:00"/>
    <s v="Activo"/>
    <n v="22"/>
    <x v="0"/>
    <n v="2.2999999999999998"/>
  </r>
  <r>
    <x v="1"/>
    <n v="10"/>
    <s v="CESPEDES MEDINA, CRUZ RONALDO"/>
    <s v="CAJERO 5X2 1ER TURNO"/>
    <n v="1448"/>
    <n v="14.01"/>
    <n v="14"/>
    <n v="0.92949999999999999"/>
    <s v="00 a 02 m 10 d"/>
    <d v="2026-04-07T00:00:00"/>
    <d v="2026-06-16T00:00:00"/>
    <s v="Activo"/>
    <n v="2194"/>
    <x v="0"/>
    <n v="2.3333333333333335"/>
  </r>
  <r>
    <x v="5"/>
    <n v="24"/>
    <s v="CRUZ ACEVEDO, EMILY CAMILA"/>
    <s v="CAJERO 5X2 2DO TURNO"/>
    <n v="1023"/>
    <n v="14.01"/>
    <n v="14"/>
    <n v="0.92930000000000001"/>
    <s v="00 a 02 m 10 d"/>
    <d v="2026-04-07T00:00:00"/>
    <d v="2026-06-16T00:00:00"/>
    <s v="Activo"/>
    <n v="17"/>
    <x v="0"/>
    <n v="2.3333333333333335"/>
  </r>
  <r>
    <x v="6"/>
    <n v="10"/>
    <s v="SALAZAR ROBLES, MIA MARIEL"/>
    <s v="CAJERO 5X2 2DO TURNO"/>
    <n v="1084"/>
    <n v="16.21"/>
    <n v="15"/>
    <n v="1.075"/>
    <s v="00 a 02 m 16 d"/>
    <d v="2026-04-01T00:00:00"/>
    <d v="2026-06-16T00:00:00"/>
    <s v="Activo"/>
    <n v="2828"/>
    <x v="0"/>
    <n v="2.5333333333333332"/>
  </r>
  <r>
    <x v="5"/>
    <n v="23"/>
    <s v="RAYMUNDO ANTON, JOSE GABRIEL"/>
    <s v="CAJERO 5X2 2DO TURNO"/>
    <n v="1151"/>
    <n v="13.52"/>
    <n v="14"/>
    <n v="0.89700000000000002"/>
    <s v="00 a 03 m 00 d"/>
    <d v="2026-03-17T00:00:00"/>
    <d v="2026-06-16T00:00:00"/>
    <s v="Activo"/>
    <n v="12"/>
    <x v="1"/>
    <n v="3.0333333333333332"/>
  </r>
  <r>
    <x v="5"/>
    <n v="20"/>
    <s v="AZCARATE RODRIGUEZ, LUISANNA CAMILA"/>
    <s v="CAJERO 5X2 2DO TURNO"/>
    <n v="1342"/>
    <n v="14.11"/>
    <n v="14"/>
    <n v="0.93559999999999999"/>
    <s v="00 a 03 m 04 d"/>
    <d v="2026-03-13T00:00:00"/>
    <d v="2026-06-16T00:00:00"/>
    <s v="Activo"/>
    <n v="14"/>
    <x v="1"/>
    <n v="3.1666666666666665"/>
  </r>
  <r>
    <x v="5"/>
    <n v="18"/>
    <s v="LANDIVAR ROSALES, MARIA FERNANDA"/>
    <s v="CAJERO 3X4"/>
    <n v="1187"/>
    <n v="12.2"/>
    <n v="14"/>
    <n v="0.80920000000000003"/>
    <s v="00 a 03 m 04 d"/>
    <d v="2026-03-13T00:00:00"/>
    <d v="2026-06-16T00:00:00"/>
    <s v="Activo"/>
    <n v="23"/>
    <x v="1"/>
    <n v="3.1666666666666665"/>
  </r>
  <r>
    <x v="5"/>
    <n v="22"/>
    <s v="LIMA OTERO, MARIA GRABIELA"/>
    <s v="CAJERO 5X2 2DO TURNO"/>
    <n v="1331"/>
    <n v="14.03"/>
    <n v="14"/>
    <n v="0.93069999999999997"/>
    <s v="00 a 03 m 04 d"/>
    <d v="2026-03-13T00:00:00"/>
    <d v="2026-06-16T00:00:00"/>
    <s v="Activo"/>
    <n v="22"/>
    <x v="1"/>
    <n v="3.1666666666666665"/>
  </r>
  <r>
    <x v="5"/>
    <n v="17"/>
    <s v="NOVOA TRELLES, JUAN LUIS"/>
    <s v="CAJERO 3X4"/>
    <n v="761"/>
    <n v="15.53"/>
    <n v="14"/>
    <n v="1.0301"/>
    <s v="00 a 03 m 04 d"/>
    <d v="2026-03-13T00:00:00"/>
    <d v="2026-06-16T00:00:00"/>
    <s v="Activo"/>
    <n v="13"/>
    <x v="1"/>
    <n v="3.1666666666666665"/>
  </r>
  <r>
    <x v="5"/>
    <n v="19"/>
    <s v="RAMIREZ JUAREZ, MARIA FERNANDA"/>
    <s v="CAJERO 3X4"/>
    <n v="898"/>
    <n v="13.2"/>
    <n v="14"/>
    <n v="0.87529999999999997"/>
    <s v="00 a 03 m 04 d"/>
    <d v="2026-03-13T00:00:00"/>
    <d v="2026-06-16T00:00:00"/>
    <s v="Activo"/>
    <n v="10"/>
    <x v="1"/>
    <n v="3.1666666666666665"/>
  </r>
  <r>
    <x v="5"/>
    <n v="16"/>
    <s v="YARLEQUE LLOCYA, ABRIL YOVANY"/>
    <s v="CAJERO 3X4"/>
    <n v="946"/>
    <n v="12.88"/>
    <n v="14"/>
    <n v="0.85440000000000005"/>
    <s v="00 a 03 m 04 d"/>
    <d v="2026-03-13T00:00:00"/>
    <d v="2026-06-16T00:00:00"/>
    <s v="Activo"/>
    <n v="11"/>
    <x v="1"/>
    <n v="3.1666666666666665"/>
  </r>
  <r>
    <x v="3"/>
    <n v="10"/>
    <s v="SILVA CARRENO, LIZBETH ALEXANDRA"/>
    <s v="CAJERO 5X2 1ER TURNO"/>
    <n v="1396"/>
    <n v="18.36"/>
    <n v="28"/>
    <n v="1.2176"/>
    <s v="00 a 03 m 04 d"/>
    <d v="2026-03-13T00:00:00"/>
    <d v="2026-06-16T00:00:00"/>
    <s v="Activo"/>
    <n v="3537"/>
    <x v="1"/>
    <n v="3.1666666666666665"/>
  </r>
  <r>
    <x v="1"/>
    <n v="9"/>
    <s v="CURO ATENCIO, GERALDINE MARICIELO"/>
    <s v="CAJERO 5X2 2DO TURNO"/>
    <n v="1743"/>
    <n v="15.4"/>
    <n v="14"/>
    <n v="1.0214000000000001"/>
    <s v="00 a 03 m 05 d"/>
    <d v="2026-03-12T00:00:00"/>
    <d v="2026-06-16T00:00:00"/>
    <s v="Activo"/>
    <n v="1440"/>
    <x v="1"/>
    <n v="3.2"/>
  </r>
  <r>
    <x v="1"/>
    <n v="8"/>
    <s v="GREEN GODOS, LAURA ESTEFANI"/>
    <s v="CAJERO 5X2 2DO TURNO"/>
    <n v="1567"/>
    <n v="14.72"/>
    <n v="14"/>
    <n v="0.97660000000000002"/>
    <s v="00 a 03 m 05 d"/>
    <d v="2026-03-12T00:00:00"/>
    <d v="2026-06-16T00:00:00"/>
    <s v="Activo"/>
    <n v="1781"/>
    <x v="1"/>
    <n v="3.2"/>
  </r>
  <r>
    <x v="6"/>
    <n v="8"/>
    <s v="ALVA ALVARADO, YULIANNA ELIZABETH"/>
    <s v="CAJERO 3X4"/>
    <n v="759"/>
    <n v="8.65"/>
    <n v="15"/>
    <n v="0.57340000000000002"/>
    <s v="00 a 03 m 11 d"/>
    <d v="2026-03-06T00:00:00"/>
    <d v="2026-06-16T00:00:00"/>
    <s v="Activo"/>
    <n v="2"/>
    <x v="1"/>
    <n v="3.4"/>
  </r>
  <r>
    <x v="6"/>
    <n v="9"/>
    <s v="MENDOZA ZAVALETA, STEED HYUGA"/>
    <s v="CAJERO 3X4"/>
    <n v="719"/>
    <n v="13.4"/>
    <n v="15"/>
    <n v="0.88849999999999996"/>
    <s v="00 a 03 m 11 d"/>
    <d v="2026-03-06T00:00:00"/>
    <d v="2026-06-16T00:00:00"/>
    <s v="Activo"/>
    <n v="870"/>
    <x v="1"/>
    <n v="3.4"/>
  </r>
  <r>
    <x v="3"/>
    <n v="8"/>
    <s v="PANTA MENA, KEREN MIRELLA"/>
    <s v="CAJERO 5X2 2DO TURNO"/>
    <n v="1268"/>
    <n v="18.25"/>
    <n v="28"/>
    <n v="1.2101999999999999"/>
    <s v="00 a 03 m 11 d"/>
    <d v="2026-03-06T00:00:00"/>
    <d v="2026-06-16T00:00:00"/>
    <s v="Activo"/>
    <n v="4011"/>
    <x v="1"/>
    <n v="3.4"/>
  </r>
  <r>
    <x v="3"/>
    <n v="7"/>
    <s v="PISCOYA JUAREZ, GABRIEL OMAR"/>
    <s v="CAJERO 5X2"/>
    <n v="1293"/>
    <n v="16.850000000000001"/>
    <n v="28"/>
    <n v="1.1173"/>
    <s v="00 a 03 m 11 d"/>
    <d v="2026-03-06T00:00:00"/>
    <d v="2026-06-16T00:00:00"/>
    <s v="Activo"/>
    <n v="3309"/>
    <x v="1"/>
    <n v="3.4"/>
  </r>
  <r>
    <x v="3"/>
    <n v="9"/>
    <s v="RETO JUAREZ, SANDY NOEMI"/>
    <s v="CAJERO 5X2 2DO TURNO"/>
    <n v="1452"/>
    <n v="14.97"/>
    <n v="28"/>
    <n v="0.99309999999999998"/>
    <s v="00 a 03 m 11 d"/>
    <d v="2026-03-06T00:00:00"/>
    <d v="2026-06-16T00:00:00"/>
    <s v="Activo"/>
    <n v="1502"/>
    <x v="1"/>
    <n v="3.4"/>
  </r>
  <r>
    <x v="5"/>
    <n v="13"/>
    <s v="MUÑOZ OCHOA, ANGELA DAYANA"/>
    <s v="CAJERO 5X2 2DO TURNO"/>
    <n v="778"/>
    <n v="13.56"/>
    <n v="14"/>
    <n v="0.89910000000000001"/>
    <s v="00 a 03 m 14 d"/>
    <d v="2026-03-03T00:00:00"/>
    <d v="2026-06-16T00:00:00"/>
    <s v="Activo"/>
    <n v="10"/>
    <x v="1"/>
    <n v="3.5"/>
  </r>
  <r>
    <x v="5"/>
    <n v="14"/>
    <s v="RAMOS PACHERRES, ROSA ALESSANDRA"/>
    <s v="CAJERO 5X2 2DO TURNO"/>
    <n v="1455"/>
    <n v="15.98"/>
    <n v="14"/>
    <n v="1.0601"/>
    <s v="00 a 03 m 14 d"/>
    <d v="2026-03-03T00:00:00"/>
    <d v="2026-06-16T00:00:00"/>
    <s v="Activo"/>
    <n v="12"/>
    <x v="1"/>
    <n v="3.5"/>
  </r>
  <r>
    <x v="6"/>
    <n v="7"/>
    <s v="FLORES AGUILAR, CAMILA LUCIA"/>
    <s v="CAJERO 5X2 2DO TURNO"/>
    <n v="1336"/>
    <n v="12"/>
    <n v="15"/>
    <n v="0.79600000000000004"/>
    <s v="00 a 03 m 15 d"/>
    <d v="2026-03-02T00:00:00"/>
    <d v="2026-06-16T00:00:00"/>
    <s v="Activo"/>
    <n v="778"/>
    <x v="1"/>
    <n v="3.5333333333333332"/>
  </r>
  <r>
    <x v="6"/>
    <n v="6"/>
    <s v="MUÑOZ AGREDA, ISAIT STEVEN"/>
    <s v="CAJERO 5X2 1ER TURNO"/>
    <n v="1307"/>
    <n v="11.55"/>
    <n v="15"/>
    <n v="0.7661"/>
    <s v="00 a 03 m 15 d"/>
    <d v="2026-03-02T00:00:00"/>
    <d v="2026-06-16T00:00:00"/>
    <s v="Activo"/>
    <n v="323"/>
    <x v="1"/>
    <n v="3.5333333333333332"/>
  </r>
  <r>
    <x v="0"/>
    <n v="909"/>
    <s v="VILCHEZ CHAVEZ VALERIA"/>
    <s v="CAJERO 5X2 1ER TURNO"/>
    <n v="414"/>
    <n v="11.92"/>
    <n v="14"/>
    <n v="0.79039999999999999"/>
    <s v="00 a 03 m 22 d"/>
    <d v="2026-02-26T00:00:00"/>
    <d v="2026-06-16T00:00:00"/>
    <s v="Cesadx"/>
    <m/>
    <x v="1"/>
    <n v="3.6666666666666665"/>
  </r>
  <r>
    <x v="7"/>
    <n v="4"/>
    <s v="GÓMEZ ATOCHA, ANGIE PAOLA"/>
    <s v="CAJERO 5X2 2DO TURNO"/>
    <n v="1112"/>
    <n v="15.92"/>
    <n v="14"/>
    <n v="1.0561"/>
    <s v="00 a 04 m 04 d"/>
    <d v="2026-02-13T00:00:00"/>
    <d v="2026-06-16T00:00:00"/>
    <s v="Activo"/>
    <n v="1683"/>
    <x v="1"/>
    <n v="4.0999999999999996"/>
  </r>
  <r>
    <x v="5"/>
    <n v="1048"/>
    <s v="TRONCOS ZAPATA, ANNGIE ROSSMERY"/>
    <s v="CAJERO 5X2 1ER TURNO"/>
    <n v="1233"/>
    <n v="15.69"/>
    <n v="14"/>
    <n v="1.0407"/>
    <s v="00 a 04 m 11 d"/>
    <d v="2026-02-06T00:00:00"/>
    <d v="2026-06-16T00:00:00"/>
    <s v="Activo"/>
    <n v="20"/>
    <x v="1"/>
    <n v="4.333333333333333"/>
  </r>
  <r>
    <x v="8"/>
    <n v="1000"/>
    <s v="RODRIGUEZ JUAREZ, ESTEFANY CARMELITA"/>
    <s v="CAJERO 5X2"/>
    <n v="914"/>
    <n v="12.72"/>
    <n v="14"/>
    <n v="0.84350000000000003"/>
    <s v="00 a 04 m 16 d"/>
    <d v="2026-02-01T00:00:00"/>
    <d v="2026-01-31T00:00:00"/>
    <s v="Activo"/>
    <n v="1211"/>
    <x v="0"/>
    <n v="0"/>
  </r>
  <r>
    <x v="6"/>
    <n v="285"/>
    <s v="VERA MORENO, ALONDRA MAYTEE"/>
    <s v="CAJERO 5X2 2DO TURNO"/>
    <n v="744"/>
    <n v="10.7"/>
    <n v="15"/>
    <n v="0.70960000000000001"/>
    <s v="00 a 06 m 00 d"/>
    <d v="2025-12-17T00:00:00"/>
    <d v="2026-06-16T00:00:00"/>
    <s v="Activo"/>
    <n v="409"/>
    <x v="2"/>
    <n v="6.0333333333333332"/>
  </r>
  <r>
    <x v="9"/>
    <n v="342"/>
    <s v="ESPINOZA CASTRO, BRISTNY BRICEL"/>
    <s v="CAJERO 5X2 2DO TURNO"/>
    <n v="1129"/>
    <n v="12.19"/>
    <n v="14"/>
    <n v="0.80869999999999997"/>
    <s v="00 a 06 m 06 d"/>
    <d v="2025-12-11T00:00:00"/>
    <d v="2026-06-16T00:00:00"/>
    <s v="Activo"/>
    <m/>
    <x v="2"/>
    <n v="6.2333333333333334"/>
  </r>
  <r>
    <x v="9"/>
    <n v="340"/>
    <s v="SALAZAR PAREDES, ALONDRA JAZMIN"/>
    <s v="CAJERO 5X2 2DO TURNO"/>
    <n v="935"/>
    <n v="9.7899999999999991"/>
    <n v="14"/>
    <n v="0.6492"/>
    <s v="00 a 06 m 06 d"/>
    <d v="2025-12-11T00:00:00"/>
    <d v="2026-06-16T00:00:00"/>
    <s v="Activo"/>
    <m/>
    <x v="2"/>
    <n v="6.2333333333333334"/>
  </r>
  <r>
    <x v="9"/>
    <n v="339"/>
    <s v="SANTAMARÍA DÍAZ, ANA CRISTINA"/>
    <s v="CAJERO 5X2 2DO TURNO"/>
    <n v="879"/>
    <n v="10.53"/>
    <n v="14"/>
    <n v="0.69830000000000003"/>
    <s v="00 a 06 m 06 d"/>
    <d v="2025-12-11T00:00:00"/>
    <d v="2026-06-16T00:00:00"/>
    <s v="Activo"/>
    <n v="1"/>
    <x v="2"/>
    <n v="6.2333333333333334"/>
  </r>
  <r>
    <x v="9"/>
    <n v="341"/>
    <s v="TINEO CAMPOS, JENNIFER MISHEL"/>
    <s v="CAJERO 5X2 2DO TURNO"/>
    <n v="1504"/>
    <n v="16.420000000000002"/>
    <n v="14"/>
    <n v="1.0892999999999999"/>
    <s v="00 a 06 m 06 d"/>
    <d v="2025-12-11T00:00:00"/>
    <d v="2026-06-16T00:00:00"/>
    <s v="Activo"/>
    <n v="1394"/>
    <x v="2"/>
    <n v="6.2333333333333334"/>
  </r>
  <r>
    <x v="1"/>
    <n v="217"/>
    <s v="CASTILLO PEREZ, APVRIL VALENTINA"/>
    <s v="CAJERO 5X2 2DO TURNO"/>
    <n v="1552"/>
    <n v="18.09"/>
    <n v="14"/>
    <n v="1.1998"/>
    <s v="00 a 06 m 06 d"/>
    <d v="2025-12-11T00:00:00"/>
    <d v="2026-06-16T00:00:00"/>
    <s v="Activo"/>
    <n v="1105"/>
    <x v="2"/>
    <n v="6.2333333333333334"/>
  </r>
  <r>
    <x v="1"/>
    <n v="215"/>
    <s v="MENDOZA ACHAHUI, RICARDO MAURICIO"/>
    <s v="CAJERO 5X2 1ER TURNO"/>
    <n v="1390"/>
    <n v="10.050000000000001"/>
    <n v="14"/>
    <n v="0.6663"/>
    <s v="00 a 06 m 06 d"/>
    <d v="2025-12-11T00:00:00"/>
    <d v="2026-06-16T00:00:00"/>
    <s v="Activo"/>
    <n v="12"/>
    <x v="2"/>
    <n v="6.2333333333333334"/>
  </r>
  <r>
    <x v="1"/>
    <n v="216"/>
    <s v="ZAVALETA MIO, ANGE VANESSA"/>
    <s v="CAJERO 5X2 2DO TURNO"/>
    <n v="702"/>
    <n v="12.44"/>
    <n v="14"/>
    <n v="0.82479999999999998"/>
    <s v="00 a 06 m 06 d"/>
    <d v="2025-12-11T00:00:00"/>
    <d v="2026-06-16T00:00:00"/>
    <s v="Activo"/>
    <m/>
    <x v="2"/>
    <n v="6.2333333333333334"/>
  </r>
  <r>
    <x v="9"/>
    <n v="337"/>
    <s v="CARHUATANTA QUIROZ, TATIANA YAMILI"/>
    <s v="CAJERO 5X2 2DO TURNO"/>
    <n v="1437"/>
    <n v="11.9"/>
    <n v="14"/>
    <n v="0.7893"/>
    <s v="00 a 06 m 11 d"/>
    <d v="2025-12-06T00:00:00"/>
    <d v="2026-06-16T00:00:00"/>
    <s v="Activo"/>
    <n v="621"/>
    <x v="2"/>
    <n v="6.4"/>
  </r>
  <r>
    <x v="9"/>
    <n v="335"/>
    <s v="CASTILLO CHERO, KATTIA ALEXANDRA"/>
    <s v="CAJERO 5X2 1ER TURNO"/>
    <n v="1055"/>
    <n v="9.92"/>
    <n v="14"/>
    <n v="0.6583"/>
    <s v="00 a 06 m 11 d"/>
    <d v="2025-12-06T00:00:00"/>
    <d v="2026-06-16T00:00:00"/>
    <s v="Activo"/>
    <n v="607"/>
    <x v="2"/>
    <n v="6.4"/>
  </r>
  <r>
    <x v="9"/>
    <n v="336"/>
    <s v="LLONTOP PUICAN, NEYDI YAZMIN"/>
    <s v="CAJERO 5X2 2DO TURNO"/>
    <n v="1308"/>
    <n v="14.39"/>
    <n v="14"/>
    <n v="0.95430000000000004"/>
    <s v="00 a 06 m 11 d"/>
    <d v="2025-12-06T00:00:00"/>
    <d v="2026-06-16T00:00:00"/>
    <s v="Activo"/>
    <n v="321"/>
    <x v="2"/>
    <n v="6.4"/>
  </r>
  <r>
    <x v="9"/>
    <n v="338"/>
    <s v="MAURIOLA RUBIO, MARIA LUZ VICTORIA"/>
    <s v="CAJERO 5X2 2DO TURNO"/>
    <n v="1517"/>
    <n v="10.95"/>
    <n v="14"/>
    <n v="0.72640000000000005"/>
    <s v="00 a 06 m 11 d"/>
    <d v="2025-12-06T00:00:00"/>
    <d v="2026-06-16T00:00:00"/>
    <s v="Activo"/>
    <n v="395"/>
    <x v="2"/>
    <n v="6.4"/>
  </r>
  <r>
    <x v="0"/>
    <n v="191"/>
    <s v="GARRIDO SAAVEDRA, JEFFERSON ALEXANDER JOSE"/>
    <s v="CAJERO 5X2 2DO TURNO"/>
    <n v="1293"/>
    <n v="13.91"/>
    <n v="14"/>
    <n v="0.92279999999999995"/>
    <s v="00 a 06 m 15 d"/>
    <d v="2025-12-02T00:00:00"/>
    <d v="2026-06-16T00:00:00"/>
    <s v="Activo"/>
    <n v="1057"/>
    <x v="2"/>
    <n v="6.5333333333333332"/>
  </r>
  <r>
    <x v="1"/>
    <n v="119"/>
    <s v="DIAZ LOPEZ, JESSICA"/>
    <s v="CAJERO 6X1"/>
    <n v="3718"/>
    <n v="14.58"/>
    <n v="14"/>
    <n v="0.96730000000000005"/>
    <s v="00 a 06 m 16 d"/>
    <d v="2025-12-01T00:00:00"/>
    <d v="2025-11-30T00:00:00"/>
    <s v="Activo"/>
    <n v="2240"/>
    <x v="0"/>
    <n v="0"/>
  </r>
  <r>
    <x v="1"/>
    <n v="209"/>
    <s v="MORETO MARINES, MILDREN ABIGAIL"/>
    <s v="CAJERO 5X2 2DO TURNO"/>
    <n v="1681"/>
    <n v="18.53"/>
    <n v="14"/>
    <n v="1.2289000000000001"/>
    <s v="00 a 06 m 16 d"/>
    <d v="2025-12-01T00:00:00"/>
    <d v="2026-06-16T00:00:00"/>
    <s v="Activo"/>
    <n v="4677"/>
    <x v="2"/>
    <n v="6.5666666666666664"/>
  </r>
  <r>
    <x v="6"/>
    <n v="280"/>
    <s v="MOZO HUAMAN, AARON JOSUE"/>
    <s v="CAJERO 5X2 2DO TURNO"/>
    <n v="1242"/>
    <n v="16.43"/>
    <n v="15"/>
    <n v="1.0894999999999999"/>
    <s v="00 a 06 m 16 d"/>
    <d v="2025-12-01T00:00:00"/>
    <d v="2026-06-16T00:00:00"/>
    <s v="Activo"/>
    <n v="1388"/>
    <x v="2"/>
    <n v="6.5666666666666664"/>
  </r>
  <r>
    <x v="7"/>
    <n v="254"/>
    <s v="HUAMAN RUIZ, LUCAS ALDAIR"/>
    <s v="CAJERO 5X2"/>
    <n v="1432"/>
    <n v="19.88"/>
    <n v="14"/>
    <n v="1.3185"/>
    <s v="00 a 06 m 16 d"/>
    <d v="2025-12-01T00:00:00"/>
    <d v="2026-06-16T00:00:00"/>
    <s v="Activo"/>
    <n v="3052"/>
    <x v="2"/>
    <n v="6.5666666666666664"/>
  </r>
  <r>
    <x v="3"/>
    <n v="160"/>
    <s v="SANTIAGO FARFAN, ESPERANZA LISBET"/>
    <s v="CAJERO 5X2 1ER TURNO"/>
    <n v="1498"/>
    <n v="27.62"/>
    <n v="28"/>
    <n v="1.8317000000000001"/>
    <s v="00 a 06 m 16 d"/>
    <d v="2025-12-01T00:00:00"/>
    <d v="2026-06-16T00:00:00"/>
    <s v="Activo"/>
    <n v="9400"/>
    <x v="2"/>
    <n v="6.5666666666666664"/>
  </r>
  <r>
    <x v="2"/>
    <n v="179"/>
    <s v="CHÁVEZ ATOCHE, FATIMA JACKELYNE"/>
    <s v="CAJERO 5X2 2DO TURNO"/>
    <n v="799"/>
    <n v="12.62"/>
    <n v="14"/>
    <n v="0.83730000000000004"/>
    <s v="00 a 06 m 20 d"/>
    <d v="2025-11-28T00:00:00"/>
    <d v="2026-06-16T00:00:00"/>
    <s v="Activo"/>
    <n v="470"/>
    <x v="2"/>
    <n v="6.666666666666667"/>
  </r>
  <r>
    <x v="1"/>
    <n v="206"/>
    <s v="PEREZ SALAZAR, KATTYA EVELIN YULISSA"/>
    <s v="CAJERO 5X2 2DO TURNO"/>
    <n v="1681"/>
    <n v="16.22"/>
    <n v="14"/>
    <n v="1.0754999999999999"/>
    <s v="00 a 06 m 23 d"/>
    <d v="2025-11-25T00:00:00"/>
    <d v="2026-06-16T00:00:00"/>
    <s v="Activo"/>
    <n v="3113"/>
    <x v="2"/>
    <n v="6.7666666666666666"/>
  </r>
  <r>
    <x v="10"/>
    <n v="247"/>
    <s v="RUFINO TORRES DE CESPEDES, LUZMILA ELENA"/>
    <s v="CAJERO 5X2 2DO TURNO"/>
    <n v="988"/>
    <n v="15.18"/>
    <n v="14"/>
    <n v="1.0069999999999999"/>
    <s v="00 a 06 m 28 d"/>
    <d v="2025-11-20T00:00:00"/>
    <d v="2026-06-16T00:00:00"/>
    <s v="Activo"/>
    <n v="2238"/>
    <x v="2"/>
    <n v="6.9333333333333336"/>
  </r>
  <r>
    <x v="9"/>
    <n v="328"/>
    <s v="VELASQUEZ GARCIA, DANIEL ALEJANDRO"/>
    <s v="CAJERO 5X2 2DO TURNO"/>
    <n v="981"/>
    <n v="10.79"/>
    <n v="14"/>
    <n v="0.71540000000000004"/>
    <s v="00 a 06 m 29 d"/>
    <d v="2025-11-19T00:00:00"/>
    <d v="2026-06-16T00:00:00"/>
    <s v="Activo"/>
    <n v="3"/>
    <x v="2"/>
    <n v="6.9666666666666668"/>
  </r>
  <r>
    <x v="9"/>
    <n v="327"/>
    <s v="OLANO SUCLUPE, BRYAN ALESSANDRO"/>
    <s v="CAJERO 5X2 2DO TURNO"/>
    <n v="1192"/>
    <n v="14.71"/>
    <n v="14"/>
    <n v="0.97589999999999999"/>
    <s v="00 a 07 m 03 d"/>
    <d v="2025-11-14T00:00:00"/>
    <d v="2026-06-16T00:00:00"/>
    <s v="Activo"/>
    <n v="469"/>
    <x v="2"/>
    <n v="7.1333333333333337"/>
  </r>
  <r>
    <x v="1"/>
    <n v="203"/>
    <s v="LUDEÑA VIDALES AXEL BENJAMIN"/>
    <s v="CAJERO 5X2 2DO TURNO"/>
    <n v="551"/>
    <n v="11.42"/>
    <n v="14"/>
    <n v="0.75729999999999997"/>
    <s v="00 a 07 m 03 d"/>
    <d v="2025-11-14T00:00:00"/>
    <d v="2026-06-16T00:00:00"/>
    <s v="Cesadx"/>
    <n v="4"/>
    <x v="2"/>
    <n v="7.1333333333333337"/>
  </r>
  <r>
    <x v="6"/>
    <n v="278"/>
    <s v="GORDILLO MARCELO, BRIGUIT CIELITO"/>
    <s v="CAJERO 5X2 1ER TURNO"/>
    <n v="1012"/>
    <n v="13.33"/>
    <n v="15"/>
    <n v="0.88390000000000002"/>
    <s v="00 a 07 m 03 d"/>
    <d v="2025-11-14T00:00:00"/>
    <d v="2025-03-31T00:00:00"/>
    <s v="Activo"/>
    <n v="3"/>
    <x v="0"/>
    <n v="0"/>
  </r>
  <r>
    <x v="6"/>
    <n v="279"/>
    <s v="MENDOZA ROJAS, JAMIE HARUMY NOEMI"/>
    <s v="CAJERO 5X2 1ER TURNO"/>
    <n v="1255"/>
    <n v="16.440000000000001"/>
    <n v="15"/>
    <n v="1.0905"/>
    <s v="00 a 07 m 03 d"/>
    <d v="2025-11-14T00:00:00"/>
    <d v="2026-06-16T00:00:00"/>
    <s v="Activo"/>
    <n v="1883"/>
    <x v="2"/>
    <n v="7.1333333333333337"/>
  </r>
  <r>
    <x v="0"/>
    <n v="188"/>
    <s v="VERGARAY REQUE RONALDO JOSUE"/>
    <s v="CAJERO 5X2 1ER TURNO"/>
    <n v="348"/>
    <n v="11.67"/>
    <n v="14"/>
    <n v="0.77370000000000005"/>
    <s v="00 a 07 m 03 d"/>
    <d v="2025-11-14T00:00:00"/>
    <d v="2026-06-16T00:00:00"/>
    <s v="Cesadx"/>
    <n v="180"/>
    <x v="2"/>
    <n v="7.1333333333333337"/>
  </r>
  <r>
    <x v="9"/>
    <n v="326"/>
    <s v="ALARCON MUNDACA, CAROLL GERALDINE"/>
    <s v="CAJERO 5X2"/>
    <n v="1151"/>
    <n v="10.91"/>
    <n v="14"/>
    <n v="0.72330000000000005"/>
    <s v="00 a 07 m 04 d"/>
    <d v="2025-11-13T00:00:00"/>
    <d v="2026-06-16T00:00:00"/>
    <s v="Activo"/>
    <n v="4"/>
    <x v="2"/>
    <n v="7.166666666666667"/>
  </r>
  <r>
    <x v="1"/>
    <n v="202"/>
    <s v="LEZAMA ALVAREZ, MARIA ELIZABETH"/>
    <s v="CAJERO 5X2 2DO TURNO"/>
    <n v="1490"/>
    <n v="15.12"/>
    <n v="14"/>
    <n v="1.0027999999999999"/>
    <s v="00 a 07 m 07 d"/>
    <d v="2025-11-10T00:00:00"/>
    <d v="2026-06-16T00:00:00"/>
    <s v="Activo"/>
    <n v="658"/>
    <x v="2"/>
    <n v="7.2666666666666666"/>
  </r>
  <r>
    <x v="0"/>
    <n v="187"/>
    <s v="PAREDES HONORES, GLORIA ESTHER"/>
    <s v="CAJERO 5X2 1ER TURNO"/>
    <n v="1276"/>
    <n v="13.77"/>
    <n v="14"/>
    <n v="0.91300000000000003"/>
    <s v="00 a 07 m 10 d"/>
    <d v="2025-11-07T00:00:00"/>
    <d v="2026-06-16T00:00:00"/>
    <s v="Activo"/>
    <n v="1150"/>
    <x v="2"/>
    <n v="7.3666666666666663"/>
  </r>
  <r>
    <x v="4"/>
    <n v="243"/>
    <s v="LEÓN JARAMILLO, ALANIS BELEN"/>
    <s v="CAJERO 5X2 2DO TURNO"/>
    <n v="829"/>
    <n v="13.96"/>
    <n v="14"/>
    <n v="0.92579999999999996"/>
    <s v="00 a 07 m 13 d"/>
    <d v="2025-11-04T00:00:00"/>
    <d v="2026-06-16T00:00:00"/>
    <s v="Activo"/>
    <n v="736"/>
    <x v="2"/>
    <n v="7.4666666666666668"/>
  </r>
  <r>
    <x v="10"/>
    <n v="245"/>
    <s v="MACHARE SILVA, LESLIE XAMIRA"/>
    <s v="CAJERO 5X2 2DO TURNO"/>
    <n v="838"/>
    <n v="14.39"/>
    <n v="14"/>
    <n v="0.95440000000000003"/>
    <s v="00 a 07 m 14 d"/>
    <d v="2025-11-03T00:00:00"/>
    <d v="2026-06-16T00:00:00"/>
    <s v="Activo"/>
    <n v="137"/>
    <x v="2"/>
    <n v="7.5"/>
  </r>
  <r>
    <x v="10"/>
    <n v="243"/>
    <s v="PRECIADO SALDARRIAGA, EVELYN MARIEL"/>
    <s v="CAJERO 5X2 2DO TURNO"/>
    <n v="812"/>
    <n v="14.5"/>
    <n v="14"/>
    <n v="0.96150000000000002"/>
    <s v="00 a 07 m 14 d"/>
    <d v="2025-11-03T00:00:00"/>
    <d v="2026-06-16T00:00:00"/>
    <s v="Activo"/>
    <n v="1261"/>
    <x v="2"/>
    <n v="7.5"/>
  </r>
  <r>
    <x v="10"/>
    <n v="246"/>
    <s v="VILLEGAS VÉLIZ, GREYSI ESTÉFANY"/>
    <s v="CAJERO 5X2 2DO TURNO"/>
    <n v="780"/>
    <n v="12.55"/>
    <n v="14"/>
    <n v="0.8327"/>
    <s v="00 a 07 m 14 d"/>
    <d v="2025-11-03T00:00:00"/>
    <d v="2026-06-16T00:00:00"/>
    <s v="Activo"/>
    <n v="217"/>
    <x v="2"/>
    <n v="7.5"/>
  </r>
  <r>
    <x v="10"/>
    <n v="244"/>
    <s v="YARLEQUÉ OLIVOS, ROSANNA PATRICIA"/>
    <s v="CAJERO 5X2 2DO TURNO"/>
    <n v="954"/>
    <n v="14.53"/>
    <n v="14"/>
    <n v="0.96409999999999996"/>
    <s v="00 a 07 m 14 d"/>
    <d v="2025-11-03T00:00:00"/>
    <d v="2026-06-16T00:00:00"/>
    <s v="Activo"/>
    <n v="428"/>
    <x v="2"/>
    <n v="7.5"/>
  </r>
  <r>
    <x v="4"/>
    <n v="171"/>
    <s v="ANCHEA APOLO, YESSENIA MELISSA"/>
    <s v="CAJERO 6X1"/>
    <n v="2342"/>
    <n v="13.18"/>
    <n v="14"/>
    <n v="0.87390000000000001"/>
    <s v="00 a 07 m 16 d"/>
    <d v="2025-11-01T00:00:00"/>
    <d v="2025-10-31T00:00:00"/>
    <s v="Activo"/>
    <n v="17"/>
    <x v="0"/>
    <n v="0"/>
  </r>
  <r>
    <x v="9"/>
    <n v="325"/>
    <s v="SUYON GONZALES, MARIA MERCEDES"/>
    <s v="CAJERO 3X4"/>
    <n v="1056"/>
    <n v="10.77"/>
    <n v="14"/>
    <n v="0.71419999999999995"/>
    <s v="00 a 07 m 17 d"/>
    <d v="2025-10-31T00:00:00"/>
    <d v="2026-06-16T00:00:00"/>
    <s v="Activo"/>
    <n v="11"/>
    <x v="2"/>
    <n v="7.6"/>
  </r>
  <r>
    <x v="4"/>
    <n v="242"/>
    <s v="GARCIA BENAVIDES, YOMIRA KASANDRA"/>
    <s v="CAJERO 5X2 1ER TURNO"/>
    <n v="945"/>
    <n v="11.8"/>
    <n v="14"/>
    <n v="0.78259999999999996"/>
    <s v="00 a 07 m 25 d"/>
    <d v="2025-10-23T00:00:00"/>
    <d v="2026-06-16T00:00:00"/>
    <s v="Activo"/>
    <n v="138"/>
    <x v="2"/>
    <n v="7.8666666666666663"/>
  </r>
  <r>
    <x v="4"/>
    <n v="241"/>
    <s v="LAMA MENDOZA, EMILI YAZMIN"/>
    <s v="CAJERO 6X1"/>
    <n v="1978"/>
    <n v="17.100000000000001"/>
    <n v="14"/>
    <n v="1.1338999999999999"/>
    <s v="00 a 08 m 04 d"/>
    <d v="2025-10-13T00:00:00"/>
    <d v="2026-06-16T00:00:00"/>
    <s v="Activo"/>
    <n v="3876"/>
    <x v="2"/>
    <n v="8.1999999999999993"/>
  </r>
  <r>
    <x v="4"/>
    <n v="239"/>
    <s v="HUAYLLAS CALDERON, TRINIDAD ESTER"/>
    <s v="CAJERO 5X2 1ER TURNO"/>
    <n v="969"/>
    <n v="16.350000000000001"/>
    <n v="14"/>
    <n v="1.0844"/>
    <s v="00 a 08 m 08 d"/>
    <d v="2025-10-09T00:00:00"/>
    <d v="2026-06-16T00:00:00"/>
    <s v="Activo"/>
    <n v="1640"/>
    <x v="2"/>
    <n v="8.3333333333333339"/>
  </r>
  <r>
    <x v="6"/>
    <n v="277"/>
    <s v="VILLANUEVA HUANCAS, CINTYA PAMELA"/>
    <s v="CAJERO 3X4"/>
    <n v="885"/>
    <n v="21.33"/>
    <n v="15"/>
    <n v="1.4144000000000001"/>
    <s v="00 a 08 m 29 d"/>
    <d v="2025-09-19T00:00:00"/>
    <d v="2026-06-16T00:00:00"/>
    <s v="Activo"/>
    <n v="4080"/>
    <x v="2"/>
    <n v="9"/>
  </r>
  <r>
    <x v="6"/>
    <n v="274"/>
    <s v="ADANAQUE ARRIAGA, YADIRA SUSALY"/>
    <s v="CAJERO 5X2 2DO TURNO"/>
    <n v="1285"/>
    <n v="15.58"/>
    <n v="15"/>
    <n v="1.0336000000000001"/>
    <s v="00 a 09 m 14 d"/>
    <d v="2025-09-03T00:00:00"/>
    <d v="2026-06-16T00:00:00"/>
    <s v="Activo"/>
    <n v="1802"/>
    <x v="2"/>
    <n v="9.5333333333333332"/>
  </r>
  <r>
    <x v="6"/>
    <n v="271"/>
    <s v="MENDOZA MALQUI, YOSELI ABIGAIL"/>
    <s v="CAJERO 5X2 1ER TURNO"/>
    <n v="1378"/>
    <n v="16.32"/>
    <n v="15"/>
    <n v="1.0825"/>
    <s v="00 a 09 m 21 d"/>
    <d v="2025-08-27T00:00:00"/>
    <d v="2026-06-16T00:00:00"/>
    <s v="Activo"/>
    <n v="12"/>
    <x v="2"/>
    <n v="9.7666666666666675"/>
  </r>
  <r>
    <x v="6"/>
    <n v="268"/>
    <s v="PESANTES LLONTOP, KATTYA YHOSHIRA"/>
    <s v="CAJERO 3X4"/>
    <n v="839"/>
    <n v="14.03"/>
    <n v="15"/>
    <n v="0.93049999999999999"/>
    <s v="00 a 09 m 21 d"/>
    <d v="2025-08-27T00:00:00"/>
    <d v="2026-06-16T00:00:00"/>
    <s v="Activo"/>
    <n v="593"/>
    <x v="2"/>
    <n v="9.7666666666666675"/>
  </r>
  <r>
    <x v="6"/>
    <n v="270"/>
    <s v="RIVERA VEGA, ANGIE CAMILA ISABEL"/>
    <s v="CAJERO 5X2"/>
    <n v="1110"/>
    <n v="16.93"/>
    <n v="15"/>
    <n v="1.1229"/>
    <s v="00 a 09 m 21 d"/>
    <d v="2025-08-27T00:00:00"/>
    <d v="2026-06-16T00:00:00"/>
    <s v="Activo"/>
    <n v="1946"/>
    <x v="2"/>
    <n v="9.7666666666666675"/>
  </r>
  <r>
    <x v="7"/>
    <n v="251"/>
    <s v="GARCÍA COLLAZOS, WILMER ALEJANDRO"/>
    <s v="CAJERO 5X2"/>
    <n v="1075"/>
    <n v="16.48"/>
    <n v="14"/>
    <n v="1.093"/>
    <s v="00 a 09 m 29 d"/>
    <d v="2025-08-19T00:00:00"/>
    <d v="2026-06-16T00:00:00"/>
    <s v="Activo"/>
    <n v="733"/>
    <x v="2"/>
    <n v="10.033333333333333"/>
  </r>
  <r>
    <x v="7"/>
    <n v="248"/>
    <s v="CHIROQUE PEÑA, MERCEDES PAOLA"/>
    <s v="CAJERO 5X2"/>
    <n v="1235"/>
    <n v="13.68"/>
    <n v="14"/>
    <n v="0.90710000000000002"/>
    <s v="00 a 10 m 05 d"/>
    <d v="2025-08-12T00:00:00"/>
    <d v="2026-06-16T00:00:00"/>
    <s v="Activo"/>
    <n v="194"/>
    <x v="2"/>
    <n v="10.266666666666667"/>
  </r>
  <r>
    <x v="7"/>
    <n v="250"/>
    <s v="OLIVOS PAIVA, JESSENIA"/>
    <s v="CAJERO 5X2"/>
    <n v="963"/>
    <n v="13.98"/>
    <n v="14"/>
    <n v="0.92730000000000001"/>
    <s v="00 a 10 m 05 d"/>
    <d v="2025-08-12T00:00:00"/>
    <d v="2026-06-16T00:00:00"/>
    <s v="Activo"/>
    <n v="896"/>
    <x v="2"/>
    <n v="10.266666666666667"/>
  </r>
  <r>
    <x v="7"/>
    <n v="249"/>
    <s v="RIVAS SILVA, PAULITA ELIZABETH"/>
    <s v="CAJERO 5X2"/>
    <n v="1377"/>
    <n v="18.96"/>
    <n v="14"/>
    <n v="1.2576000000000001"/>
    <s v="00 a 10 m 05 d"/>
    <d v="2025-08-12T00:00:00"/>
    <d v="2026-06-16T00:00:00"/>
    <s v="Activo"/>
    <n v="2895"/>
    <x v="2"/>
    <n v="10.266666666666667"/>
  </r>
  <r>
    <x v="7"/>
    <n v="246"/>
    <s v="SOJO FARIAS, SAMIRA MAYLI"/>
    <s v="CAJERO 5X2"/>
    <n v="1380"/>
    <n v="19.46"/>
    <n v="14"/>
    <n v="1.2904"/>
    <s v="00 a 10 m 05 d"/>
    <d v="2025-08-12T00:00:00"/>
    <d v="2026-06-16T00:00:00"/>
    <s v="Activo"/>
    <n v="3602"/>
    <x v="2"/>
    <n v="10.266666666666667"/>
  </r>
  <r>
    <x v="4"/>
    <n v="236"/>
    <s v="IZQUIERDO AVILA, KATHERINE ROSSMERY"/>
    <s v="CAJERO 5X2 2DO TURNO"/>
    <n v="1353"/>
    <n v="15.49"/>
    <n v="14"/>
    <n v="1.0274000000000001"/>
    <s v="00 a 10 m 16 d"/>
    <d v="2025-08-01T00:00:00"/>
    <d v="2026-06-16T00:00:00"/>
    <s v="Activo"/>
    <n v="411"/>
    <x v="2"/>
    <n v="10.633333333333333"/>
  </r>
  <r>
    <x v="4"/>
    <n v="237"/>
    <s v="PALACIOS YOVERA, ROSMERY PAOLA"/>
    <s v="CAJERO 5X2 2DO TURNO"/>
    <n v="977"/>
    <n v="14.43"/>
    <n v="14"/>
    <n v="0.95699999999999996"/>
    <s v="00 a 10 m 16 d"/>
    <d v="2025-08-01T00:00:00"/>
    <d v="2026-06-16T00:00:00"/>
    <s v="Activo"/>
    <n v="1883"/>
    <x v="2"/>
    <n v="10.633333333333333"/>
  </r>
  <r>
    <x v="6"/>
    <n v="267"/>
    <s v="GARCIA MOZO, VANIA WENDOLY"/>
    <s v="CAJERO 5X2 2DO TURNO"/>
    <n v="805"/>
    <n v="13.78"/>
    <n v="15"/>
    <n v="0.91390000000000005"/>
    <s v="01 a 00 m 11 d"/>
    <d v="2025-06-06T00:00:00"/>
    <d v="2026-06-16T00:00:00"/>
    <s v="Activo"/>
    <n v="852"/>
    <x v="3"/>
    <n v="12.5"/>
  </r>
  <r>
    <x v="4"/>
    <n v="233"/>
    <s v="FLORES RIOJAS, EDWIN ALEXANDER"/>
    <s v="CAJERO 5X2 2DO TURNO"/>
    <n v="488"/>
    <n v="12.39"/>
    <n v="14"/>
    <n v="0.82189999999999996"/>
    <s v="01 a 00 m 13 d"/>
    <d v="2025-06-04T00:00:00"/>
    <d v="2026-06-16T00:00:00"/>
    <s v="Activo"/>
    <n v="476"/>
    <x v="3"/>
    <n v="12.566666666666666"/>
  </r>
  <r>
    <x v="4"/>
    <n v="232"/>
    <s v="ASENCIOS IZQUIERDO, MARIA ISABEL"/>
    <s v="CAJERO 5X2 2DO TURNO"/>
    <n v="960"/>
    <n v="12.9"/>
    <n v="14"/>
    <n v="0.85550000000000004"/>
    <s v="01 a 00 m 14 d"/>
    <d v="2025-06-03T00:00:00"/>
    <d v="2026-06-16T00:00:00"/>
    <s v="Activo"/>
    <n v="11"/>
    <x v="3"/>
    <n v="12.6"/>
  </r>
  <r>
    <x v="9"/>
    <n v="323"/>
    <s v="PASACHE BANCES, LEIDY LEONOR"/>
    <s v="CAJERO 3X4"/>
    <n v="956"/>
    <n v="10.39"/>
    <n v="14"/>
    <n v="0.68930000000000002"/>
    <s v="01 a 00 m 15 d"/>
    <d v="2025-06-02T00:00:00"/>
    <d v="2026-06-16T00:00:00"/>
    <s v="Activo"/>
    <n v="4"/>
    <x v="3"/>
    <n v="12.633333333333333"/>
  </r>
  <r>
    <x v="9"/>
    <n v="322"/>
    <s v="FERNANDEZ PISFIL, DIANA CAROLINA"/>
    <s v="CAJERO 5X2 2DO TURNO"/>
    <n v="547"/>
    <n v="12.34"/>
    <n v="14"/>
    <n v="0.81850000000000001"/>
    <s v="01 a 00 m 20 d"/>
    <d v="2025-05-28T00:00:00"/>
    <d v="2026-06-16T00:00:00"/>
    <s v="Activo"/>
    <n v="132"/>
    <x v="3"/>
    <n v="12.8"/>
  </r>
  <r>
    <x v="0"/>
    <n v="186"/>
    <s v="REYES SOTO, JOSELIN ESTRELLA"/>
    <s v="CAJERO 5X2"/>
    <n v="1299"/>
    <n v="13.51"/>
    <n v="14"/>
    <n v="0.89639999999999997"/>
    <s v="01 a 01 m 01 d"/>
    <d v="2025-05-16T00:00:00"/>
    <d v="2025-03-31T00:00:00"/>
    <s v="Activo"/>
    <n v="1001"/>
    <x v="0"/>
    <n v="0"/>
  </r>
  <r>
    <x v="6"/>
    <n v="264"/>
    <s v="MOZOMBITE ROMUALDO, ALBHIERY"/>
    <s v="CAJERO 5X2"/>
    <n v="901"/>
    <n v="20.309999999999999"/>
    <n v="15"/>
    <n v="1.3469"/>
    <s v="01 a 01 m 12 d"/>
    <d v="2025-05-05T00:00:00"/>
    <d v="2026-06-16T00:00:00"/>
    <s v="Activo"/>
    <n v="3219"/>
    <x v="3"/>
    <n v="13.566666666666666"/>
  </r>
  <r>
    <x v="6"/>
    <n v="260"/>
    <s v="AGUIRRE ESQUERRE, ALISON KIMBERLY"/>
    <s v="CAJERO 5X2 1ER TURNO"/>
    <n v="740"/>
    <n v="12.75"/>
    <n v="15"/>
    <n v="0.84540000000000004"/>
    <s v="01 a 01 m 19 d"/>
    <d v="2025-04-29T00:00:00"/>
    <d v="2026-06-16T00:00:00"/>
    <s v="Activo"/>
    <n v="84"/>
    <x v="3"/>
    <n v="13.766666666666667"/>
  </r>
  <r>
    <x v="4"/>
    <n v="228"/>
    <s v="RUJEL VILCHEZ, JHON EDINSON"/>
    <s v="CAJERO 5X2"/>
    <n v="932"/>
    <n v="12.33"/>
    <n v="14"/>
    <n v="0.81789999999999996"/>
    <s v="01 a 01 m 19 d"/>
    <d v="2025-04-29T00:00:00"/>
    <d v="2026-06-16T00:00:00"/>
    <s v="Activo"/>
    <n v="769"/>
    <x v="3"/>
    <n v="13.766666666666667"/>
  </r>
  <r>
    <x v="6"/>
    <n v="259"/>
    <s v="APAZA CCASA, SONIA"/>
    <s v="CAJERO 5X2 2DO TURNO"/>
    <n v="1103"/>
    <n v="20.87"/>
    <n v="15"/>
    <n v="1.3838999999999999"/>
    <s v="01 a 01 m 23 d"/>
    <d v="2025-04-25T00:00:00"/>
    <d v="2026-06-16T00:00:00"/>
    <s v="Activo"/>
    <n v="4057"/>
    <x v="3"/>
    <n v="13.9"/>
  </r>
  <r>
    <x v="0"/>
    <n v="181"/>
    <s v="CUENTAS PALACIOS, THIERRY HENRYD"/>
    <s v="CAJERO 5X2 2DO TURNO"/>
    <n v="1167"/>
    <n v="15.07"/>
    <n v="14"/>
    <n v="0.99980000000000002"/>
    <s v="01 a 01 m 23 d"/>
    <d v="2025-04-25T00:00:00"/>
    <d v="2026-06-16T00:00:00"/>
    <s v="Activo"/>
    <n v="510"/>
    <x v="3"/>
    <n v="13.9"/>
  </r>
  <r>
    <x v="1"/>
    <n v="198"/>
    <s v="CASTRO VASQUEZ, WILDER JOSÉ"/>
    <s v="CAJERO 5X2 1ER TURNO"/>
    <n v="1530"/>
    <n v="13.98"/>
    <n v="14"/>
    <n v="0.92710000000000004"/>
    <s v="01 a 02 m 16 d"/>
    <d v="2025-04-01T00:00:00"/>
    <d v="2026-06-16T00:00:00"/>
    <s v="Activo"/>
    <n v="1589"/>
    <x v="3"/>
    <n v="14.7"/>
  </r>
  <r>
    <x v="9"/>
    <n v="376"/>
    <s v="SILVA SAAVEDRA, CATHERINE"/>
    <s v="CAJERO 6X1"/>
    <n v="2192"/>
    <n v="14.45"/>
    <n v="14"/>
    <n v="0.9587"/>
    <s v="01 a 03 m 16 d"/>
    <d v="2025-03-01T00:00:00"/>
    <d v="2025-02-28T00:00:00"/>
    <s v="Activo"/>
    <n v="1116"/>
    <x v="0"/>
    <n v="0"/>
  </r>
  <r>
    <x v="5"/>
    <n v="387"/>
    <s v="ARCINIEGA DUEÑAS, FRECIA GORETTY"/>
    <s v="CAJERO 5X2 1ER TURNO"/>
    <n v="1158"/>
    <n v="17.77"/>
    <n v="14"/>
    <n v="1.1786000000000001"/>
    <s v="01 a 03 m 16 d"/>
    <d v="2025-03-01T00:00:00"/>
    <d v="2025-02-28T00:00:00"/>
    <s v="Activo"/>
    <n v="10"/>
    <x v="0"/>
    <n v="0"/>
  </r>
  <r>
    <x v="4"/>
    <n v="62"/>
    <s v="GIRON MATAMOROS, JHORMAN JUSSEPI"/>
    <s v="CAJERO 5X2"/>
    <n v="1762"/>
    <n v="12.71"/>
    <n v="14"/>
    <n v="0.84289999999999998"/>
    <s v="01 a 03 m 16 d"/>
    <d v="2025-03-01T00:00:00"/>
    <d v="2025-02-28T00:00:00"/>
    <s v="Activo"/>
    <n v="2100"/>
    <x v="0"/>
    <n v="0"/>
  </r>
  <r>
    <x v="5"/>
    <n v="612"/>
    <s v="SEMINARIO YARLEQUÉ, MARíA BELéN"/>
    <s v="CAJERO 5X2"/>
    <n v="1439"/>
    <n v="15.23"/>
    <n v="14"/>
    <n v="1.0099"/>
    <s v="01 a 03 m 22 d"/>
    <d v="2025-02-26T00:00:00"/>
    <d v="2026-06-16T00:00:00"/>
    <s v="Activo"/>
    <n v="32"/>
    <x v="3"/>
    <n v="15.833333333333334"/>
  </r>
  <r>
    <x v="9"/>
    <n v="321"/>
    <s v="SANCHEZ PATIÑO, CARMEN  JULIA"/>
    <s v="CAJERO 5X2"/>
    <n v="1355"/>
    <n v="13.32"/>
    <n v="14"/>
    <n v="0.88349999999999995"/>
    <s v="01 a 04 m 00 d"/>
    <d v="2025-02-17T00:00:00"/>
    <d v="2026-06-16T00:00:00"/>
    <s v="Activo"/>
    <n v="21"/>
    <x v="3"/>
    <n v="16.133333333333333"/>
  </r>
  <r>
    <x v="8"/>
    <n v="335"/>
    <s v="ARTEAGA SAONA, YASSADY ANAMILLE"/>
    <s v="CAJERO 5X2 2DO TURNO"/>
    <n v="1354"/>
    <n v="13.41"/>
    <n v="14"/>
    <n v="0.8891"/>
    <s v="01 a 04 m 14 d"/>
    <d v="2025-02-03T00:00:00"/>
    <d v="2026-06-16T00:00:00"/>
    <s v="Activo"/>
    <n v="1426"/>
    <x v="3"/>
    <n v="16.600000000000001"/>
  </r>
  <r>
    <x v="2"/>
    <n v="44"/>
    <s v="RAMOS RIJALBA, MARIA YURITZA"/>
    <s v="CAJERO 6X1"/>
    <n v="1377"/>
    <n v="9.74"/>
    <n v="14"/>
    <n v="0.64570000000000005"/>
    <s v="01 a 05 m 16 d"/>
    <d v="2025-01-01T00:00:00"/>
    <d v="2026-06-16T00:00:00"/>
    <s v="Activo"/>
    <n v="397"/>
    <x v="3"/>
    <n v="17.7"/>
  </r>
  <r>
    <x v="5"/>
    <n v="599"/>
    <s v="AGUIRRE CORDOVA, YANINA ELOYSA"/>
    <s v="CAJERO 5X2 1ER TURNO"/>
    <n v="1046"/>
    <n v="14.7"/>
    <n v="14"/>
    <n v="0.97470000000000001"/>
    <s v="01 a 06 m 14 d"/>
    <d v="2024-12-03T00:00:00"/>
    <d v="2026-06-16T00:00:00"/>
    <s v="Activo"/>
    <n v="9"/>
    <x v="3"/>
    <n v="18.666666666666668"/>
  </r>
  <r>
    <x v="9"/>
    <n v="317"/>
    <s v="CORRA INCIO, JILDA FABIOLA"/>
    <s v="CAJERO 5X2 1ER TURNO"/>
    <n v="1149"/>
    <n v="12.92"/>
    <n v="14"/>
    <n v="0.85699999999999998"/>
    <s v="01 a 06 m 19 d"/>
    <d v="2024-11-29T00:00:00"/>
    <d v="2026-06-16T00:00:00"/>
    <s v="Activo"/>
    <n v="1680"/>
    <x v="3"/>
    <n v="18.8"/>
  </r>
  <r>
    <x v="9"/>
    <n v="316"/>
    <s v="INOÑAN IGLESIAS, JESUS MIGUEL ALBERTO"/>
    <s v="CAJERO 3X4"/>
    <n v="688"/>
    <n v="13"/>
    <n v="14"/>
    <n v="0.86229999999999996"/>
    <s v="01 a 06 m 19 d"/>
    <d v="2024-11-29T00:00:00"/>
    <d v="2026-06-16T00:00:00"/>
    <s v="Activo"/>
    <n v="316"/>
    <x v="3"/>
    <n v="18.8"/>
  </r>
  <r>
    <x v="1"/>
    <n v="200"/>
    <s v="GAVIDIA CASTAÑEDA, JHOVER ANTONY"/>
    <s v="CAJERO 5X2 2DO TURNO"/>
    <n v="1341"/>
    <n v="10.130000000000001"/>
    <n v="14"/>
    <n v="0.67210000000000003"/>
    <s v="01 a 06 m 23 d"/>
    <d v="2024-11-25T00:00:00"/>
    <d v="2026-06-16T00:00:00"/>
    <s v="Activo"/>
    <n v="101"/>
    <x v="3"/>
    <n v="18.933333333333334"/>
  </r>
  <r>
    <x v="1"/>
    <n v="185"/>
    <s v="SOLSOL MOZOMBITE, CLINIO"/>
    <s v="CAJERO 5X2 1ER TURNO"/>
    <n v="1534"/>
    <n v="18.420000000000002"/>
    <n v="14"/>
    <n v="1.2219"/>
    <s v="01 a 06 m 23 d"/>
    <d v="2024-11-25T00:00:00"/>
    <d v="2026-06-16T00:00:00"/>
    <s v="Activo"/>
    <n v="2092"/>
    <x v="3"/>
    <n v="18.933333333333334"/>
  </r>
  <r>
    <x v="8"/>
    <n v="7"/>
    <s v="CHACON PALACIOS, YAHIRA EMELYN"/>
    <s v="CAJERO 5X2 1ER TURNO"/>
    <n v="1118"/>
    <n v="13.07"/>
    <n v="14"/>
    <n v="0.86719999999999997"/>
    <s v="01 a 06 m 23 d"/>
    <d v="2024-11-25T00:00:00"/>
    <d v="2026-06-16T00:00:00"/>
    <s v="Activo"/>
    <n v="1707"/>
    <x v="3"/>
    <n v="18.933333333333334"/>
  </r>
  <r>
    <x v="8"/>
    <n v="331"/>
    <s v="RODRIGUEZ GUTIERREZ, JEAN CARLOS"/>
    <s v="CAJERO 5X2 2DO TURNO"/>
    <n v="1072"/>
    <n v="17.66"/>
    <n v="14"/>
    <n v="1.1714"/>
    <s v="01 a 06 m 23 d"/>
    <d v="2024-11-25T00:00:00"/>
    <d v="2026-06-16T00:00:00"/>
    <s v="Activo"/>
    <n v="1160"/>
    <x v="3"/>
    <n v="18.933333333333334"/>
  </r>
  <r>
    <x v="8"/>
    <n v="329"/>
    <s v="SANDOVAL VASQUEZ, STEFANY MERCEDES DEL PILAR"/>
    <s v="CAJERO 5X2 1ER TURNO"/>
    <n v="1397"/>
    <n v="14.37"/>
    <n v="14"/>
    <n v="0.95309999999999995"/>
    <s v="01 a 06 m 29 d"/>
    <d v="2024-11-19T00:00:00"/>
    <d v="2026-06-16T00:00:00"/>
    <s v="Activo"/>
    <n v="623"/>
    <x v="3"/>
    <n v="19.133333333333333"/>
  </r>
  <r>
    <x v="0"/>
    <n v="170"/>
    <s v="CAPUÑAY VEGA ESTRELLA DEL ROSARIO"/>
    <s v="CAJERO 5X2 2DO TURNO"/>
    <n v="196"/>
    <n v="14.23"/>
    <n v="14"/>
    <n v="0.94359999999999999"/>
    <s v="01 a 07 m 02 d"/>
    <d v="2024-11-15T00:00:00"/>
    <d v="2026-06-16T00:00:00"/>
    <s v="Cesadx"/>
    <n v="4"/>
    <x v="3"/>
    <n v="19.266666666666666"/>
  </r>
  <r>
    <x v="5"/>
    <n v="559"/>
    <s v="CHUNA PINTADO, NAYA CRISTHEL"/>
    <s v="CAJERO 3X4"/>
    <n v="1064"/>
    <n v="18.600000000000001"/>
    <n v="14"/>
    <n v="1.2334000000000001"/>
    <s v="01 a 07 m 19 d"/>
    <d v="2024-10-29T00:00:00"/>
    <d v="2026-06-16T00:00:00"/>
    <s v="Activo"/>
    <n v="17"/>
    <x v="3"/>
    <n v="19.833333333333332"/>
  </r>
  <r>
    <x v="9"/>
    <n v="301"/>
    <s v="DEZA ZUÑIGA, ALEJANDRO MISAEL"/>
    <s v="CAJERO 5X2 2DO TURNO"/>
    <n v="1467"/>
    <n v="14.05"/>
    <n v="14"/>
    <n v="0.93169999999999997"/>
    <s v="01 a 07 m 20 d"/>
    <d v="2024-10-28T00:00:00"/>
    <d v="2026-06-16T00:00:00"/>
    <s v="Activo"/>
    <n v="1501"/>
    <x v="3"/>
    <n v="19.866666666666667"/>
  </r>
  <r>
    <x v="9"/>
    <n v="300"/>
    <s v="FUSTAMANTE BRAVO, EVELYN JAZMINE"/>
    <s v="CAJERO 5X2"/>
    <n v="1102"/>
    <n v="12.2"/>
    <n v="14"/>
    <n v="0.80920000000000003"/>
    <s v="01 a 07 m 20 d"/>
    <d v="2024-10-28T00:00:00"/>
    <d v="2026-06-16T00:00:00"/>
    <s v="Activo"/>
    <n v="145"/>
    <x v="3"/>
    <n v="19.866666666666667"/>
  </r>
  <r>
    <x v="4"/>
    <n v="195"/>
    <s v="RAMIREZ LUCERO, MARIA CELESTE"/>
    <s v="CAJERO 5X2 2DO TURNO"/>
    <n v="930"/>
    <n v="12.98"/>
    <n v="14"/>
    <n v="0.86070000000000002"/>
    <s v="01 a 08 m 14 d"/>
    <d v="2024-10-03T00:00:00"/>
    <d v="2026-06-16T00:00:00"/>
    <s v="Activo"/>
    <n v="637"/>
    <x v="3"/>
    <n v="20.7"/>
  </r>
  <r>
    <x v="6"/>
    <n v="246"/>
    <s v="CASTRO ALIAGA, GINO ROSENWER"/>
    <s v="CAJERO 5X2 1ER TURNO"/>
    <n v="908"/>
    <n v="14.08"/>
    <n v="15"/>
    <n v="0.93359999999999999"/>
    <s v="01 a 08 m 15 d"/>
    <d v="2024-10-02T00:00:00"/>
    <d v="2026-06-16T00:00:00"/>
    <s v="Activo"/>
    <n v="340"/>
    <x v="3"/>
    <n v="20.733333333333334"/>
  </r>
  <r>
    <x v="8"/>
    <n v="276"/>
    <s v="GARCIA SANCHEZ, ISAI ALEXANDER"/>
    <s v="CAJERO 5X2 2DO TURNO"/>
    <n v="1224"/>
    <n v="14.04"/>
    <n v="14"/>
    <n v="0.93140000000000001"/>
    <s v="01 a 09 m 12 d"/>
    <d v="2024-09-05T00:00:00"/>
    <d v="2026-06-16T00:00:00"/>
    <s v="Activo"/>
    <n v="829"/>
    <x v="3"/>
    <n v="21.633333333333333"/>
  </r>
  <r>
    <x v="2"/>
    <n v="142"/>
    <s v="FIESTAS PAZOS, JHANILEY"/>
    <s v="CAJERO 6X1"/>
    <n v="1306"/>
    <n v="15.83"/>
    <n v="14"/>
    <n v="1.05"/>
    <s v="01 a 09 m 16 d"/>
    <d v="2024-09-01T00:00:00"/>
    <d v="2026-06-16T00:00:00"/>
    <s v="Activo"/>
    <n v="1520"/>
    <x v="3"/>
    <n v="21.766666666666666"/>
  </r>
  <r>
    <x v="4"/>
    <n v="38"/>
    <s v="JIMENEZ CAMPOS, PRISCILA CLAVEL"/>
    <s v="CAJERO 5X2 1ER TURNO"/>
    <n v="1070"/>
    <n v="13.44"/>
    <n v="14"/>
    <n v="0.89170000000000005"/>
    <s v="01 a 09 m 16 d"/>
    <d v="2024-09-01T00:00:00"/>
    <d v="2026-06-16T00:00:00"/>
    <s v="Activo"/>
    <n v="419"/>
    <x v="3"/>
    <n v="21.766666666666666"/>
  </r>
  <r>
    <x v="8"/>
    <n v="254"/>
    <s v="RIVERA RONDOY, SHIRLEY ESTEFANY"/>
    <s v="CAJERO 5X2 2DO TURNO"/>
    <n v="1801"/>
    <n v="21.08"/>
    <n v="14"/>
    <n v="1.3983000000000001"/>
    <s v="01 a 09 m 28 d"/>
    <d v="2024-08-20T00:00:00"/>
    <d v="2026-06-16T00:00:00"/>
    <s v="Activo"/>
    <n v="5322"/>
    <x v="3"/>
    <n v="22.166666666666668"/>
  </r>
  <r>
    <x v="8"/>
    <n v="253"/>
    <s v="HURTADO CASTRO, ANDRES ALEJANDRO"/>
    <s v="CAJERO 5X2"/>
    <n v="827"/>
    <n v="12.84"/>
    <n v="14"/>
    <n v="0.85160000000000002"/>
    <s v="01 a 10 m 02 d"/>
    <d v="2024-08-15T00:00:00"/>
    <d v="2026-06-16T00:00:00"/>
    <s v="Activo"/>
    <n v="7"/>
    <x v="3"/>
    <n v="22.333333333333332"/>
  </r>
  <r>
    <x v="8"/>
    <n v="252"/>
    <s v="INGA CHIRA, CINTHYA ALELY"/>
    <s v="CAJERO 5X2"/>
    <n v="1167"/>
    <n v="16.86"/>
    <n v="14"/>
    <n v="1.1183000000000001"/>
    <s v="01 a 10 m 29 d"/>
    <d v="2024-07-19T00:00:00"/>
    <d v="2026-06-16T00:00:00"/>
    <s v="Activo"/>
    <n v="3422"/>
    <x v="3"/>
    <n v="23.233333333333334"/>
  </r>
  <r>
    <x v="5"/>
    <n v="682"/>
    <s v="VALLE RISCO, JAIRO ANDRE"/>
    <s v="CAJERO 5X2 1ER TURNO"/>
    <n v="733"/>
    <n v="14.95"/>
    <n v="14"/>
    <n v="0.99170000000000003"/>
    <s v="01 a 10 m 29 d"/>
    <d v="2024-07-19T00:00:00"/>
    <d v="2026-06-16T00:00:00"/>
    <s v="Activo"/>
    <n v="17"/>
    <x v="3"/>
    <n v="23.233333333333334"/>
  </r>
  <r>
    <x v="5"/>
    <n v="680"/>
    <s v="VALLEJOS ROSAS, GEANCARLO"/>
    <s v="CAJERO 5X2 2DO TURNO"/>
    <n v="1052"/>
    <n v="15.46"/>
    <n v="14"/>
    <n v="1.0251999999999999"/>
    <s v="01 a 10 m 29 d"/>
    <d v="2024-07-19T00:00:00"/>
    <d v="2026-06-16T00:00:00"/>
    <s v="Activo"/>
    <n v="11"/>
    <x v="3"/>
    <n v="23.233333333333334"/>
  </r>
  <r>
    <x v="5"/>
    <n v="544"/>
    <s v="QUINTANA ARAUJO, PEDRO ANTONIO"/>
    <s v="CAJERO 5X2 2DO TURNO"/>
    <n v="997"/>
    <n v="15.01"/>
    <n v="14"/>
    <n v="0.99529999999999996"/>
    <s v="01 a 10 m 30 d"/>
    <d v="2024-07-18T00:00:00"/>
    <d v="2026-06-16T00:00:00"/>
    <s v="Activo"/>
    <n v="25"/>
    <x v="3"/>
    <n v="23.266666666666666"/>
  </r>
  <r>
    <x v="4"/>
    <n v="194"/>
    <s v="MORAN AREVALO, KATHERINE BRISSETTE"/>
    <s v="CAJERO 5X2 2DO TURNO"/>
    <n v="739"/>
    <n v="15.57"/>
    <n v="14"/>
    <n v="1.0327999999999999"/>
    <s v="01 a 11 m 06 d"/>
    <d v="2024-07-11T00:00:00"/>
    <d v="2026-06-16T00:00:00"/>
    <s v="Activo"/>
    <n v="3"/>
    <x v="3"/>
    <n v="23.5"/>
  </r>
  <r>
    <x v="8"/>
    <n v="321"/>
    <s v="ALAYO RODRIGUEZ, IRWIN ANTHONY"/>
    <s v="CAJERO 5X2 2DO TURNO"/>
    <n v="1197"/>
    <n v="15.52"/>
    <n v="14"/>
    <n v="1.0296000000000001"/>
    <s v="01 a 11 m 08 d"/>
    <d v="2024-07-09T00:00:00"/>
    <d v="2026-06-16T00:00:00"/>
    <s v="Activo"/>
    <n v="1948"/>
    <x v="3"/>
    <n v="23.566666666666666"/>
  </r>
  <r>
    <x v="8"/>
    <n v="314"/>
    <s v="MENA CASTILLO, JOSELYN LISBETH"/>
    <s v="CAJERO 5X2 2DO TURNO"/>
    <n v="1334"/>
    <n v="12.48"/>
    <n v="14"/>
    <n v="0.82769999999999999"/>
    <s v="01 a 11 m 12 d"/>
    <d v="2024-07-05T00:00:00"/>
    <d v="2026-06-16T00:00:00"/>
    <s v="Activo"/>
    <n v="7"/>
    <x v="3"/>
    <n v="23.7"/>
  </r>
  <r>
    <x v="8"/>
    <n v="250"/>
    <s v="ARTEAGA ZAVALETA, ESGGILLIA MELISSA"/>
    <s v="CAJERO 3X4"/>
    <n v="919"/>
    <n v="10.96"/>
    <n v="14"/>
    <n v="0.72699999999999998"/>
    <s v="01 a 11 m 15 d"/>
    <d v="2024-07-02T00:00:00"/>
    <d v="2026-06-16T00:00:00"/>
    <s v="Activo"/>
    <n v="323"/>
    <x v="3"/>
    <n v="23.8"/>
  </r>
  <r>
    <x v="9"/>
    <n v="299"/>
    <s v="SANTA MARÍA SAMILLAN, BRAULIO CESAR"/>
    <s v="CAJERO 5X2"/>
    <n v="1695"/>
    <n v="14.1"/>
    <n v="14"/>
    <n v="0.93540000000000001"/>
    <s v="02 a 00 m 03 d"/>
    <d v="2024-06-14T00:00:00"/>
    <d v="2026-06-16T00:00:00"/>
    <s v="Activo"/>
    <n v="1393"/>
    <x v="4"/>
    <n v="24.4"/>
  </r>
  <r>
    <x v="10"/>
    <n v="131"/>
    <s v="NAVARRO SANDOVAL, MILAGROS KATHERINE"/>
    <s v="CAJERO 5X2 1ER TURNO"/>
    <n v="674"/>
    <n v="14.25"/>
    <n v="14"/>
    <n v="0.94489999999999996"/>
    <s v="02 a 00 m 16 d"/>
    <d v="2024-06-01T00:00:00"/>
    <d v="2026-06-16T00:00:00"/>
    <s v="Activo"/>
    <n v="1435"/>
    <x v="4"/>
    <n v="24.833333333333332"/>
  </r>
  <r>
    <x v="9"/>
    <n v="298"/>
    <s v="FIESTAS ALVAREZ, JHANET JAMILETH"/>
    <s v="CAJERO 5X2 2DO TURNO"/>
    <n v="725"/>
    <n v="14.84"/>
    <n v="14"/>
    <n v="0.98450000000000004"/>
    <s v="02 a 00 m 26 d"/>
    <d v="2024-05-22T00:00:00"/>
    <d v="2026-06-16T00:00:00"/>
    <s v="Activo"/>
    <m/>
    <x v="4"/>
    <n v="25.166666666666668"/>
  </r>
  <r>
    <x v="9"/>
    <n v="294"/>
    <s v="CAMPOS MARTINEZ, QUESIA NOEMI"/>
    <s v="CAJERO 5X2 2DO TURNO"/>
    <n v="1232"/>
    <n v="11.77"/>
    <n v="14"/>
    <n v="0.78039999999999998"/>
    <s v="02 a 00 m 28 d"/>
    <d v="2024-05-20T00:00:00"/>
    <d v="2026-06-16T00:00:00"/>
    <s v="Activo"/>
    <n v="649"/>
    <x v="4"/>
    <n v="25.233333333333334"/>
  </r>
  <r>
    <x v="9"/>
    <n v="295"/>
    <s v="GUERRERO CHERO, CéSAR ANDRéS"/>
    <s v="CAJERO 5X2 2DO TURNO"/>
    <n v="1158"/>
    <n v="13.87"/>
    <n v="14"/>
    <n v="0.91959999999999997"/>
    <s v="02 a 00 m 28 d"/>
    <d v="2024-05-20T00:00:00"/>
    <d v="2026-06-16T00:00:00"/>
    <s v="Activo"/>
    <n v="6"/>
    <x v="4"/>
    <n v="25.233333333333334"/>
  </r>
  <r>
    <x v="0"/>
    <n v="168"/>
    <s v="GONZALES CHINCHA, LEIDI AZUCENA"/>
    <s v="CAJERO 3X4"/>
    <n v="946"/>
    <n v="14.95"/>
    <n v="14"/>
    <n v="0.99170000000000003"/>
    <s v="02 a 00 m 28 d"/>
    <d v="2024-05-20T00:00:00"/>
    <d v="2026-06-16T00:00:00"/>
    <s v="Activo"/>
    <n v="2"/>
    <x v="4"/>
    <n v="25.233333333333334"/>
  </r>
  <r>
    <x v="0"/>
    <n v="165"/>
    <s v="ARANA VALVERDE ANGIELINA DENISSE"/>
    <s v="CAJERO 3X4"/>
    <n v="108"/>
    <n v="12.91"/>
    <n v="14"/>
    <n v="0.85619999999999996"/>
    <s v="02 a 01 m 07 d"/>
    <d v="2024-05-10T00:00:00"/>
    <d v="2026-06-16T00:00:00"/>
    <s v="Cesadx"/>
    <n v="2"/>
    <x v="4"/>
    <n v="25.566666666666666"/>
  </r>
  <r>
    <x v="4"/>
    <n v="6"/>
    <s v="ZÁRATE PINGO, BETSY ESTHER YELINNE"/>
    <s v="CAJERO 5X2 2DO TURNO"/>
    <n v="437"/>
    <n v="12.67"/>
    <n v="14"/>
    <n v="0.84050000000000002"/>
    <s v="02 a 01 m 08 d"/>
    <d v="2024-05-09T00:00:00"/>
    <d v="2026-06-16T00:00:00"/>
    <s v="Activo"/>
    <n v="314"/>
    <x v="4"/>
    <n v="25.6"/>
  </r>
  <r>
    <x v="9"/>
    <n v="138"/>
    <s v="GALVEZ BARRETO, MAYRA ROSALI"/>
    <s v="CAJERO 5X2 2DO TURNO"/>
    <n v="1236"/>
    <n v="18.27"/>
    <n v="14"/>
    <n v="1.2115"/>
    <s v="02 a 02 m 16 d"/>
    <d v="2024-04-01T00:00:00"/>
    <d v="2026-06-16T00:00:00"/>
    <s v="Activo"/>
    <n v="2286"/>
    <x v="4"/>
    <n v="26.866666666666667"/>
  </r>
  <r>
    <x v="5"/>
    <n v="515"/>
    <s v="LÓPEZ DURAND, ARIANA JULIET"/>
    <s v="CAJERO 5X2"/>
    <n v="670"/>
    <n v="17.39"/>
    <n v="14"/>
    <n v="1.1536999999999999"/>
    <s v="02 a 03 m 02 d"/>
    <d v="2024-03-15T00:00:00"/>
    <d v="2026-06-16T00:00:00"/>
    <s v="Activo"/>
    <n v="6"/>
    <x v="4"/>
    <n v="27.433333333333334"/>
  </r>
  <r>
    <x v="8"/>
    <n v="244"/>
    <s v="YUPANQUI DE LA CRUZ, VALENTINA NICOLLE"/>
    <s v="CAJERO 5X2 2DO TURNO"/>
    <n v="1205"/>
    <n v="12.49"/>
    <n v="14"/>
    <n v="0.82830000000000004"/>
    <s v="02 a 03 m 09 d"/>
    <d v="2024-03-08T00:00:00"/>
    <d v="2026-06-16T00:00:00"/>
    <s v="Activo"/>
    <n v="1864"/>
    <x v="4"/>
    <n v="27.666666666666668"/>
  </r>
  <r>
    <x v="8"/>
    <n v="242"/>
    <s v="ZAVALETA BRIVIO, OSCAR ALFONSO"/>
    <s v="CAJERO 6X1"/>
    <n v="23"/>
    <n v="9.59"/>
    <n v="14"/>
    <n v="0.63590000000000002"/>
    <s v="02 a 03 m 09 d"/>
    <d v="2024-03-08T00:00:00"/>
    <d v="2026-06-16T00:00:00"/>
    <s v="Activo"/>
    <m/>
    <x v="4"/>
    <n v="27.666666666666668"/>
  </r>
  <r>
    <x v="8"/>
    <n v="237"/>
    <s v="VERGEL CARBONELL, JERRY FABRIZIO"/>
    <s v="CAJERO 5X2 2DO TURNO"/>
    <n v="1279"/>
    <n v="12.56"/>
    <n v="14"/>
    <n v="0.83279999999999998"/>
    <s v="02 a 03 m 28 d"/>
    <d v="2024-02-20T00:00:00"/>
    <d v="2026-06-16T00:00:00"/>
    <s v="Activo"/>
    <n v="15"/>
    <x v="4"/>
    <n v="28.233333333333334"/>
  </r>
  <r>
    <x v="1"/>
    <n v="160"/>
    <s v="ALCANTARA DEL VALLE, LUIS ENRIQUE"/>
    <s v="CAJERO 5X2 2DO TURNO"/>
    <n v="1863"/>
    <n v="14.46"/>
    <n v="14"/>
    <n v="0.95930000000000004"/>
    <s v="02 a 04 m 02 d"/>
    <d v="2024-02-15T00:00:00"/>
    <d v="2026-06-16T00:00:00"/>
    <s v="Activo"/>
    <n v="1617"/>
    <x v="4"/>
    <n v="28.4"/>
  </r>
  <r>
    <x v="4"/>
    <n v="189"/>
    <s v="AGURTO AMAYA, PAULA FRANCISCA"/>
    <s v="CAJERO 5X2 2DO TURNO"/>
    <n v="1016"/>
    <n v="18.649999999999999"/>
    <n v="14"/>
    <n v="1.2373000000000001"/>
    <s v="02 a 04 m 02 d"/>
    <d v="2024-02-15T00:00:00"/>
    <d v="2026-06-16T00:00:00"/>
    <s v="Activo"/>
    <n v="1978"/>
    <x v="4"/>
    <n v="28.4"/>
  </r>
  <r>
    <x v="0"/>
    <n v="159"/>
    <s v="BENDEZU TAMARIZ, GULAYNE PAMELA"/>
    <s v="CAJERO 5X2"/>
    <n v="1194"/>
    <n v="13.16"/>
    <n v="14"/>
    <n v="0.87290000000000001"/>
    <s v="02 a 04 m 09 d"/>
    <d v="2024-02-08T00:00:00"/>
    <d v="2026-06-16T00:00:00"/>
    <s v="Activo"/>
    <n v="813"/>
    <x v="4"/>
    <n v="28.633333333333333"/>
  </r>
  <r>
    <x v="0"/>
    <n v="160"/>
    <s v="CORDOVA QUIROZ, BRENDA MABEL"/>
    <s v="CAJERO 5X2 2DO TURNO"/>
    <n v="1533"/>
    <n v="14"/>
    <n v="14"/>
    <n v="0.92869999999999997"/>
    <s v="02 a 04 m 09 d"/>
    <d v="2024-02-08T00:00:00"/>
    <d v="2026-06-16T00:00:00"/>
    <s v="Activo"/>
    <n v="1078"/>
    <x v="4"/>
    <n v="28.633333333333333"/>
  </r>
  <r>
    <x v="0"/>
    <n v="161"/>
    <s v="CRUZADO OCANA VICTOR MATIAS"/>
    <s v="CAJERO 5X2 2DO TURNO"/>
    <n v="288"/>
    <n v="16.98"/>
    <n v="14"/>
    <n v="1.1261000000000001"/>
    <s v="02 a 04 m 09 d"/>
    <d v="2024-02-08T00:00:00"/>
    <d v="2026-06-16T00:00:00"/>
    <s v="Cesadx"/>
    <n v="699"/>
    <x v="4"/>
    <n v="28.633333333333333"/>
  </r>
  <r>
    <x v="6"/>
    <n v="236"/>
    <s v="CAMBERO AGUILAR ANDERSON SHANDEE"/>
    <s v="CAJERO 5X2 2DO TURNO"/>
    <n v="959"/>
    <n v="13.49"/>
    <n v="15"/>
    <n v="0.89500000000000002"/>
    <s v="02 a 04 m 18 d"/>
    <d v="2024-01-30T00:00:00"/>
    <d v="2026-06-16T00:00:00"/>
    <s v="Cesadx"/>
    <m/>
    <x v="4"/>
    <n v="28.933333333333334"/>
  </r>
  <r>
    <x v="8"/>
    <n v="316"/>
    <s v="DIAZ SÁNCHEZ, GABRIELA LEONOR"/>
    <s v="CAJERO 3X4"/>
    <n v="787"/>
    <n v="13.84"/>
    <n v="14"/>
    <n v="0.91820000000000002"/>
    <s v="02 a 04 m 29 d"/>
    <d v="2024-01-19T00:00:00"/>
    <d v="2026-06-16T00:00:00"/>
    <s v="Activo"/>
    <n v="12"/>
    <x v="4"/>
    <n v="29.3"/>
  </r>
  <r>
    <x v="6"/>
    <n v="235"/>
    <s v="SANCHEZ PEREZ LUZ MELISSA"/>
    <s v="CAJERO 5X2 2DO TURNO"/>
    <n v="1138"/>
    <n v="13.74"/>
    <n v="15"/>
    <n v="0.91110000000000002"/>
    <s v="02 a 04 m 30 d"/>
    <d v="2024-01-18T00:00:00"/>
    <d v="2026-06-16T00:00:00"/>
    <s v="Cesadx"/>
    <n v="1151"/>
    <x v="4"/>
    <n v="29.333333333333332"/>
  </r>
  <r>
    <x v="9"/>
    <n v="281"/>
    <s v="TANTALEAN URIARTE, CRISTINA KAROLAY"/>
    <s v="CAJERO 5X2"/>
    <n v="1133"/>
    <n v="15.77"/>
    <n v="14"/>
    <n v="1.0463"/>
    <s v="02 a 05 m 00 d"/>
    <d v="2024-01-17T00:00:00"/>
    <d v="2026-06-16T00:00:00"/>
    <s v="Activo"/>
    <n v="2036"/>
    <x v="4"/>
    <n v="29.366666666666667"/>
  </r>
  <r>
    <x v="10"/>
    <n v="218"/>
    <s v="NOLE CASTRO, MARIA ELENA"/>
    <s v="CAJERO 5X2 2DO TURNO"/>
    <n v="1104"/>
    <n v="16.71"/>
    <n v="14"/>
    <n v="1.1086"/>
    <s v="02 a 05 m 01 d"/>
    <d v="2024-01-16T00:00:00"/>
    <d v="2026-06-16T00:00:00"/>
    <s v="Activo"/>
    <n v="2227"/>
    <x v="4"/>
    <n v="29.4"/>
  </r>
  <r>
    <x v="0"/>
    <n v="156"/>
    <s v="GONZALES GONZALES NESTOR JESUS"/>
    <s v="CAJERO 5X2"/>
    <n v="272"/>
    <n v="31.65"/>
    <n v="14"/>
    <n v="2.0990000000000002"/>
    <s v="02 a 05 m 05 d"/>
    <d v="2024-01-12T00:00:00"/>
    <d v="2026-06-16T00:00:00"/>
    <s v="Cesadx"/>
    <n v="1661"/>
    <x v="4"/>
    <n v="29.533333333333335"/>
  </r>
  <r>
    <x v="4"/>
    <n v="186"/>
    <s v="GARCIA RISCO, VICTOR MANUEL"/>
    <s v="CAJERO 5X2 2DO TURNO"/>
    <n v="596"/>
    <n v="12.36"/>
    <n v="14"/>
    <n v="0.81979999999999997"/>
    <s v="02 a 05 m 06 d"/>
    <d v="2024-01-11T00:00:00"/>
    <d v="2026-06-16T00:00:00"/>
    <s v="Activo"/>
    <n v="16"/>
    <x v="4"/>
    <n v="29.566666666666666"/>
  </r>
  <r>
    <x v="5"/>
    <n v="361"/>
    <s v="LLACSAHUANGA CÓRDOVA, ZAIRA YESENIA"/>
    <s v="CAJERO 6X1"/>
    <n v="2223"/>
    <n v="14.63"/>
    <n v="14"/>
    <n v="0.97060000000000002"/>
    <s v="02 a 06 m 16 d"/>
    <d v="2023-12-01T00:00:00"/>
    <d v="2026-06-16T00:00:00"/>
    <s v="Activo"/>
    <n v="24"/>
    <x v="4"/>
    <n v="30.933333333333334"/>
  </r>
  <r>
    <x v="6"/>
    <n v="222"/>
    <s v="CANO HERNANDEZ, YAMILETH MARYORI"/>
    <s v="CAJERO 5X2"/>
    <n v="1085"/>
    <n v="16.39"/>
    <n v="15"/>
    <n v="1.0873999999999999"/>
    <s v="02 a 07 m 09 d"/>
    <d v="2023-11-08T00:00:00"/>
    <d v="2026-06-16T00:00:00"/>
    <s v="Activo"/>
    <n v="2297"/>
    <x v="4"/>
    <n v="31.7"/>
  </r>
  <r>
    <x v="2"/>
    <n v="151"/>
    <s v="LEQUERNAQUE SALAZAR, FABIANA LISBETH"/>
    <s v="CAJERO 5X2 2DO TURNO"/>
    <n v="937"/>
    <n v="11.86"/>
    <n v="14"/>
    <n v="0.78690000000000004"/>
    <s v="02 a 07 m 11 d"/>
    <d v="2023-11-06T00:00:00"/>
    <d v="2026-06-16T00:00:00"/>
    <s v="Activo"/>
    <n v="22"/>
    <x v="4"/>
    <n v="31.766666666666666"/>
  </r>
  <r>
    <x v="10"/>
    <n v="213"/>
    <s v="PALACIOS OVIEDO, GLORIA ESTHEFANY"/>
    <s v="CAJERO 5X2"/>
    <n v="828"/>
    <n v="14.81"/>
    <n v="14"/>
    <n v="0.98219999999999996"/>
    <s v="02 a 07 m 11 d"/>
    <d v="2023-11-06T00:00:00"/>
    <d v="2026-06-16T00:00:00"/>
    <s v="Activo"/>
    <n v="513"/>
    <x v="4"/>
    <n v="31.766666666666666"/>
  </r>
  <r>
    <x v="2"/>
    <n v="148"/>
    <s v="ABAD PAIVA, ISABEL TATIANA"/>
    <s v="CAJERO 5X2 2DO TURNO"/>
    <n v="956"/>
    <n v="13.62"/>
    <n v="14"/>
    <n v="0.9032"/>
    <s v="02 a 07 m 30 d"/>
    <d v="2023-10-18T00:00:00"/>
    <d v="2026-06-16T00:00:00"/>
    <s v="Activo"/>
    <n v="809"/>
    <x v="4"/>
    <n v="32.4"/>
  </r>
  <r>
    <x v="8"/>
    <n v="4"/>
    <s v="MURGA GUEVARA, JOSSY XIOMARA"/>
    <s v="CAJERO 5X2 2DO TURNO"/>
    <n v="1347"/>
    <n v="29.2"/>
    <n v="14"/>
    <n v="1.9369000000000001"/>
    <s v="02 a 08 m 04 d"/>
    <d v="2023-10-13T00:00:00"/>
    <d v="2026-06-16T00:00:00"/>
    <s v="Activo"/>
    <n v="4550"/>
    <x v="4"/>
    <n v="32.56666666666667"/>
  </r>
  <r>
    <x v="5"/>
    <n v="184"/>
    <s v="BACA CORTEZ, KELLY  MARISOL"/>
    <s v="CAJERO 6X1"/>
    <n v="2480"/>
    <n v="14.74"/>
    <n v="14"/>
    <n v="0.97770000000000001"/>
    <s v="02 a 08 m 16 d"/>
    <d v="2023-10-01T00:00:00"/>
    <d v="2026-06-16T00:00:00"/>
    <s v="Activo"/>
    <n v="33"/>
    <x v="4"/>
    <n v="32.966666666666669"/>
  </r>
  <r>
    <x v="6"/>
    <n v="220"/>
    <s v="DECENA VILLANUEVA, NEVENKA GIANELLA"/>
    <s v="CAJERO 5X2"/>
    <n v="1004"/>
    <n v="13.95"/>
    <n v="15"/>
    <n v="0.92510000000000003"/>
    <s v="02 a 08 m 22 d"/>
    <d v="2023-09-26T00:00:00"/>
    <d v="2026-06-16T00:00:00"/>
    <s v="Activo"/>
    <n v="609"/>
    <x v="4"/>
    <n v="33.133333333333333"/>
  </r>
  <r>
    <x v="2"/>
    <n v="181"/>
    <s v="LLENQUE YENQUE, LUIS ALBERTO"/>
    <s v="CAJERO 5X2"/>
    <n v="734"/>
    <n v="11.06"/>
    <n v="14"/>
    <n v="0.73360000000000003"/>
    <s v="02 a 09 m 02 d"/>
    <d v="2023-09-15T00:00:00"/>
    <d v="2026-06-16T00:00:00"/>
    <s v="Activo"/>
    <n v="411"/>
    <x v="4"/>
    <n v="33.5"/>
  </r>
  <r>
    <x v="7"/>
    <n v="230"/>
    <s v="MORANTE ZETA, MIRIAM PAOLA"/>
    <s v="CAJERO 5X2 2DO TURNO"/>
    <n v="716"/>
    <n v="15.01"/>
    <n v="14"/>
    <n v="0.99529999999999996"/>
    <s v="02 a 09 m 05 d"/>
    <d v="2023-09-12T00:00:00"/>
    <d v="2026-06-16T00:00:00"/>
    <s v="Activo"/>
    <n v="427"/>
    <x v="4"/>
    <n v="33.6"/>
  </r>
  <r>
    <x v="7"/>
    <n v="231"/>
    <s v="YOVERA QUISPE, KETTY CLARISSA"/>
    <s v="CAJERO 5X2 1ER TURNO"/>
    <n v="1282"/>
    <n v="13.17"/>
    <n v="14"/>
    <n v="0.87360000000000004"/>
    <s v="02 a 09 m 05 d"/>
    <d v="2023-09-12T00:00:00"/>
    <d v="2026-06-16T00:00:00"/>
    <s v="Activo"/>
    <n v="676"/>
    <x v="4"/>
    <n v="33.6"/>
  </r>
  <r>
    <x v="1"/>
    <n v="150"/>
    <s v="NAVEROS GONZALEZ, SLANIA ELIZABETH"/>
    <s v="CAJERO 5X2 2DO TURNO"/>
    <n v="1607"/>
    <n v="15.57"/>
    <n v="14"/>
    <n v="1.0327999999999999"/>
    <s v="02 a 09 m 06 d"/>
    <d v="2023-09-11T00:00:00"/>
    <d v="2026-06-16T00:00:00"/>
    <s v="Activo"/>
    <n v="1851"/>
    <x v="4"/>
    <n v="33.633333333333333"/>
  </r>
  <r>
    <x v="5"/>
    <n v="497"/>
    <s v="SILVA PERALTA, MERILDA GEORGINA"/>
    <s v="CAJERO 3X4"/>
    <n v="741"/>
    <n v="15.26"/>
    <n v="14"/>
    <n v="1.0121"/>
    <s v="02 a 09 m 09 d"/>
    <d v="2023-09-08T00:00:00"/>
    <d v="2026-06-16T00:00:00"/>
    <s v="Activo"/>
    <n v="20"/>
    <x v="4"/>
    <n v="33.733333333333334"/>
  </r>
  <r>
    <x v="3"/>
    <n v="140"/>
    <s v="SERNAQUE RODRIGUEZ, PRISCILA DE LOS MILAGROS"/>
    <s v="CAJERO 5X2"/>
    <n v="370"/>
    <n v="27.53"/>
    <n v="28"/>
    <n v="1.8261000000000001"/>
    <s v="02 a 09 m 12 d"/>
    <d v="2023-09-05T00:00:00"/>
    <d v="2026-06-16T00:00:00"/>
    <s v="Activo"/>
    <n v="2012"/>
    <x v="4"/>
    <n v="33.833333333333336"/>
  </r>
  <r>
    <x v="8"/>
    <n v="199"/>
    <s v="REYES MORALES, NORA LISBETH"/>
    <s v="CAJERO 5X2 2DO TURNO"/>
    <n v="1550"/>
    <n v="15.59"/>
    <n v="14"/>
    <n v="1.0342"/>
    <s v="02 a 09 m 13 d"/>
    <d v="2023-09-04T00:00:00"/>
    <d v="2026-06-16T00:00:00"/>
    <s v="Activo"/>
    <n v="2123"/>
    <x v="4"/>
    <n v="33.866666666666667"/>
  </r>
  <r>
    <x v="2"/>
    <n v="145"/>
    <s v="ALAMA FLORES, GIANELLA DIANA"/>
    <s v="CAJERO 5X2 1ER TURNO"/>
    <n v="1092"/>
    <n v="14.96"/>
    <n v="14"/>
    <n v="0.99260000000000004"/>
    <s v="02 a 09 m 13 d"/>
    <d v="2023-09-04T00:00:00"/>
    <d v="2026-06-16T00:00:00"/>
    <s v="Activo"/>
    <n v="1668"/>
    <x v="4"/>
    <n v="33.866666666666667"/>
  </r>
  <r>
    <x v="2"/>
    <n v="144"/>
    <s v="FERNANDEZ GUTIERREZ DE SERNAQUE RAQUEL TABITHA"/>
    <s v="CAJERO 5X2 2DO TURNO"/>
    <n v="1019"/>
    <n v="12.81"/>
    <n v="14"/>
    <n v="0.84940000000000004"/>
    <s v="02 a 09 m 13 d"/>
    <d v="2023-09-04T00:00:00"/>
    <d v="2026-06-16T00:00:00"/>
    <s v="Activo"/>
    <n v="540"/>
    <x v="4"/>
    <n v="33.866666666666667"/>
  </r>
  <r>
    <x v="2"/>
    <n v="143"/>
    <s v="RETO SILVA, LIZBETH KARINA"/>
    <s v="CAJERO 5X2 2DO TURNO"/>
    <n v="681"/>
    <n v="11.08"/>
    <n v="14"/>
    <n v="0.73480000000000001"/>
    <s v="02 a 09 m 13 d"/>
    <d v="2023-09-04T00:00:00"/>
    <d v="2026-06-16T00:00:00"/>
    <s v="Activo"/>
    <n v="83"/>
    <x v="4"/>
    <n v="33.866666666666667"/>
  </r>
  <r>
    <x v="10"/>
    <n v="211"/>
    <s v="ECHE CHERO, MARIA PAOLA"/>
    <s v="CAJERO 5X2"/>
    <n v="923"/>
    <n v="14.72"/>
    <n v="14"/>
    <n v="0.97619999999999996"/>
    <s v="02 a 09 m 13 d"/>
    <d v="2023-09-04T00:00:00"/>
    <d v="2026-06-16T00:00:00"/>
    <s v="Activo"/>
    <n v="405"/>
    <x v="4"/>
    <n v="33.866666666666667"/>
  </r>
  <r>
    <x v="8"/>
    <n v="318"/>
    <s v="CAYOTOPA VASQUEZ, ESTEFANY KRYSTHEL"/>
    <s v="CAJERO 6X1"/>
    <n v="2401"/>
    <n v="13.73"/>
    <n v="14"/>
    <n v="0.91059999999999997"/>
    <s v="02 a 09 m 16 d"/>
    <d v="2023-09-01T00:00:00"/>
    <d v="2026-06-16T00:00:00"/>
    <s v="Activo"/>
    <n v="535"/>
    <x v="4"/>
    <n v="33.966666666666669"/>
  </r>
  <r>
    <x v="8"/>
    <n v="190"/>
    <s v="ORTIZ TORRES, PEDRO JAVIER"/>
    <s v="CAJERO 6X1"/>
    <n v="319"/>
    <n v="19.07"/>
    <n v="14"/>
    <n v="1.2650999999999999"/>
    <s v="02 a 09 m 16 d"/>
    <d v="2023-09-01T00:00:00"/>
    <d v="2026-06-16T00:00:00"/>
    <s v="Activo"/>
    <n v="1002"/>
    <x v="4"/>
    <n v="33.966666666666669"/>
  </r>
  <r>
    <x v="8"/>
    <n v="239"/>
    <s v="ZAVALETA REYES, CLAUDIA FABIOLA"/>
    <s v="CAJERO 3X4"/>
    <n v="1201"/>
    <n v="19.37"/>
    <n v="14"/>
    <n v="1.2850999999999999"/>
    <s v="02 a 09 m 16 d"/>
    <d v="2023-09-01T00:00:00"/>
    <d v="2026-06-16T00:00:00"/>
    <s v="Activo"/>
    <n v="4375"/>
    <x v="4"/>
    <n v="33.966666666666669"/>
  </r>
  <r>
    <x v="3"/>
    <n v="137"/>
    <s v="FLORES PALACIOS, PRISCILA ALMENDRA DE LOS MILAG"/>
    <s v="CAJERO 5X2 2DO TURNO"/>
    <n v="1185"/>
    <n v="17.18"/>
    <n v="28"/>
    <n v="1.1395999999999999"/>
    <s v="02 a 09 m 19 d"/>
    <d v="2023-08-29T00:00:00"/>
    <d v="2026-06-16T00:00:00"/>
    <s v="Activo"/>
    <n v="1125"/>
    <x v="4"/>
    <n v="34.06666666666667"/>
  </r>
  <r>
    <x v="3"/>
    <n v="136"/>
    <s v="TORRES MONTERO, PABLO JHAYR"/>
    <s v="CAJERO 5X2 1ER TURNO"/>
    <n v="1299"/>
    <n v="24.3"/>
    <n v="28"/>
    <n v="1.6114999999999999"/>
    <s v="02 a 09 m 19 d"/>
    <d v="2023-08-29T00:00:00"/>
    <d v="2026-06-16T00:00:00"/>
    <s v="Activo"/>
    <n v="7117"/>
    <x v="4"/>
    <n v="34.06666666666667"/>
  </r>
  <r>
    <x v="10"/>
    <n v="208"/>
    <s v="SAIRE SANTOS, MELISSA NATHALY"/>
    <s v="CAJERO 5X2 2DO TURNO"/>
    <n v="940"/>
    <n v="16.46"/>
    <n v="14"/>
    <n v="1.0914999999999999"/>
    <s v="02 a 09 m 23 d"/>
    <d v="2023-08-25T00:00:00"/>
    <d v="2026-06-16T00:00:00"/>
    <s v="Activo"/>
    <n v="2404"/>
    <x v="4"/>
    <n v="34.200000000000003"/>
  </r>
  <r>
    <x v="8"/>
    <n v="197"/>
    <s v="BAZAN VIERA, WENDY VERENICE"/>
    <s v="CAJERO 5X2"/>
    <n v="1047"/>
    <n v="16.100000000000001"/>
    <n v="14"/>
    <n v="1.0681"/>
    <s v="02 a 10 m 22 d"/>
    <d v="2023-07-26T00:00:00"/>
    <d v="2026-06-16T00:00:00"/>
    <s v="Activo"/>
    <n v="1214"/>
    <x v="4"/>
    <n v="35.200000000000003"/>
  </r>
  <r>
    <x v="7"/>
    <n v="226"/>
    <s v="MOGOLLON SALVADOR, IRIS YANELY"/>
    <s v="CAJERO 5X2"/>
    <n v="1350"/>
    <n v="19.61"/>
    <n v="14"/>
    <n v="1.3005"/>
    <s v="02 a 10 m 23 d"/>
    <d v="2023-07-25T00:00:00"/>
    <d v="2026-06-16T00:00:00"/>
    <s v="Activo"/>
    <n v="4367"/>
    <x v="4"/>
    <n v="35.233333333333334"/>
  </r>
  <r>
    <x v="7"/>
    <n v="228"/>
    <s v="VALENCIA NIZAMA, JAZMIN JENNYFER"/>
    <s v="CAJERO 5X2 2DO TURNO"/>
    <n v="1230"/>
    <n v="14.39"/>
    <n v="14"/>
    <n v="0.95450000000000002"/>
    <s v="02 a 10 m 23 d"/>
    <d v="2023-07-25T00:00:00"/>
    <d v="2026-06-16T00:00:00"/>
    <s v="Activo"/>
    <n v="215"/>
    <x v="4"/>
    <n v="35.233333333333334"/>
  </r>
  <r>
    <x v="3"/>
    <n v="132"/>
    <s v="CASTRO VITE, KIARA GABRIELA"/>
    <s v="CAJERO 5X2"/>
    <n v="1106"/>
    <n v="38.14"/>
    <n v="28"/>
    <n v="2.5299"/>
    <s v="02 a 10 m 27 d"/>
    <d v="2023-07-21T00:00:00"/>
    <d v="2026-06-16T00:00:00"/>
    <s v="Activo"/>
    <n v="9664"/>
    <x v="4"/>
    <n v="35.366666666666667"/>
  </r>
  <r>
    <x v="5"/>
    <n v="486"/>
    <s v="RUIZ ESCOBAR, JORGINHO EDUARDO"/>
    <s v="CAJERO 3X4"/>
    <n v="989"/>
    <n v="13.79"/>
    <n v="14"/>
    <n v="0.91490000000000005"/>
    <s v="02 a 10 m 29 d"/>
    <d v="2023-07-19T00:00:00"/>
    <d v="2026-06-16T00:00:00"/>
    <s v="Activo"/>
    <m/>
    <x v="4"/>
    <n v="35.43333333333333"/>
  </r>
  <r>
    <x v="7"/>
    <n v="223"/>
    <s v="LOPEZ ROSILLO, ANDERSON ALDAIR"/>
    <s v="CAJERO 5X2"/>
    <n v="978"/>
    <n v="21.4"/>
    <n v="14"/>
    <n v="1.4191"/>
    <s v="02 a 10 m 30 d"/>
    <d v="2023-07-18T00:00:00"/>
    <d v="2026-06-16T00:00:00"/>
    <s v="Activo"/>
    <n v="4187"/>
    <x v="4"/>
    <n v="35.466666666666669"/>
  </r>
  <r>
    <x v="8"/>
    <n v="196"/>
    <s v="GOMEZ INFANTES, PATRICIA MAGALY"/>
    <s v="CAJERO 5X2 1ER TURNO"/>
    <n v="935"/>
    <n v="11.87"/>
    <n v="14"/>
    <n v="0.78749999999999998"/>
    <s v="02 a 11 m 04 d"/>
    <d v="2023-07-13T00:00:00"/>
    <d v="2026-06-16T00:00:00"/>
    <s v="Activo"/>
    <n v="1191"/>
    <x v="4"/>
    <n v="35.633333333333333"/>
  </r>
  <r>
    <x v="9"/>
    <n v="272"/>
    <s v="PADILLA RIMAICUNA, BRIGGITTE ANTUANET"/>
    <s v="CAJERO 3X4"/>
    <n v="863"/>
    <n v="17.260000000000002"/>
    <n v="14"/>
    <n v="1.1445000000000001"/>
    <s v="03 a 00 m 22 d"/>
    <d v="2023-05-26T00:00:00"/>
    <d v="2026-06-16T00:00:00"/>
    <s v="Activo"/>
    <n v="1561"/>
    <x v="4"/>
    <n v="37.233333333333334"/>
  </r>
  <r>
    <x v="9"/>
    <n v="269"/>
    <s v="CASTRO AREVALO, ANELL KYARYD"/>
    <s v="CAJERO 5X2 2DO TURNO"/>
    <n v="1196"/>
    <n v="10.9"/>
    <n v="14"/>
    <n v="0.72270000000000001"/>
    <s v="03 a 01 m 00 d"/>
    <d v="2023-05-17T00:00:00"/>
    <d v="2026-06-16T00:00:00"/>
    <s v="Activo"/>
    <n v="6"/>
    <x v="4"/>
    <n v="37.533333333333331"/>
  </r>
  <r>
    <x v="4"/>
    <n v="167"/>
    <s v="OCHOA MOGOLLON, MATHIAS SALVATORE"/>
    <s v="CAJERO 5X2"/>
    <n v="246"/>
    <n v="19.350000000000001"/>
    <n v="14"/>
    <n v="1.2831999999999999"/>
    <s v="03 a 01 m 00 d"/>
    <d v="2023-05-17T00:00:00"/>
    <d v="2026-06-16T00:00:00"/>
    <s v="Activo"/>
    <n v="924"/>
    <x v="4"/>
    <n v="37.533333333333331"/>
  </r>
  <r>
    <x v="0"/>
    <n v="182"/>
    <s v="RAMIREZ MIRABAL LEE EDER"/>
    <s v="CAJERO 5X2"/>
    <n v="795"/>
    <n v="12.1"/>
    <n v="14"/>
    <n v="0.80279999999999996"/>
    <s v="03 a 01 m 16 d"/>
    <d v="2023-05-01T00:00:00"/>
    <d v="2026-06-16T00:00:00"/>
    <s v="Cesadx"/>
    <n v="485"/>
    <x v="4"/>
    <n v="38.06666666666667"/>
  </r>
  <r>
    <x v="7"/>
    <n v="221"/>
    <s v="VARGAS BENITES, XIOMARA ISABEL"/>
    <s v="CAJERO 5X2 1ER TURNO"/>
    <n v="1384"/>
    <n v="16.489999999999998"/>
    <n v="14"/>
    <n v="1.0935999999999999"/>
    <s v="03 a 02 m 06 d"/>
    <d v="2023-04-11T00:00:00"/>
    <d v="2026-06-16T00:00:00"/>
    <s v="Activo"/>
    <n v="1845"/>
    <x v="4"/>
    <n v="38.733333333333334"/>
  </r>
  <r>
    <x v="10"/>
    <n v="201"/>
    <s v="CARRASCO CHUNA, JHOANY ROSSY"/>
    <s v="CAJERO 5X2 2DO TURNO"/>
    <n v="1112"/>
    <n v="17.7"/>
    <n v="14"/>
    <n v="1.1738999999999999"/>
    <s v="03 a 02 m 11 d"/>
    <d v="2023-04-06T00:00:00"/>
    <d v="2026-06-16T00:00:00"/>
    <s v="Activo"/>
    <n v="553"/>
    <x v="4"/>
    <n v="38.9"/>
  </r>
  <r>
    <x v="7"/>
    <n v="210"/>
    <s v="CHUQUIHUANGA ANICETO, ESTELITA ABIGAIL"/>
    <s v="CAJERO 5X2 2DO TURNO"/>
    <n v="1046"/>
    <n v="13.79"/>
    <n v="14"/>
    <n v="0.91500000000000004"/>
    <s v="03 a 02 m 12 d"/>
    <d v="2023-04-05T00:00:00"/>
    <d v="2026-06-16T00:00:00"/>
    <s v="Activo"/>
    <n v="466"/>
    <x v="4"/>
    <n v="38.93333333333333"/>
  </r>
  <r>
    <x v="7"/>
    <n v="216"/>
    <s v="PURIZACA MOGOLLON, MARÍA NELLY"/>
    <s v="CAJERO 5X2"/>
    <n v="1194"/>
    <n v="13.67"/>
    <n v="14"/>
    <n v="0.90690000000000004"/>
    <s v="03 a 02 m 13 d"/>
    <d v="2023-04-04T00:00:00"/>
    <d v="2026-06-16T00:00:00"/>
    <s v="Activo"/>
    <n v="254"/>
    <x v="4"/>
    <n v="38.966666666666669"/>
  </r>
  <r>
    <x v="7"/>
    <n v="217"/>
    <s v="VILLACREZ GARCIA, BLANCA ESTELA"/>
    <s v="CAJERO 5X2 2DO TURNO"/>
    <n v="1036"/>
    <n v="17.14"/>
    <n v="14"/>
    <n v="1.137"/>
    <s v="03 a 02 m 13 d"/>
    <d v="2023-04-04T00:00:00"/>
    <d v="2026-06-16T00:00:00"/>
    <s v="Activo"/>
    <n v="1408"/>
    <x v="4"/>
    <n v="38.966666666666669"/>
  </r>
  <r>
    <x v="7"/>
    <n v="218"/>
    <s v="VIVANCO ALCEDO, CINTIA VANESSA"/>
    <s v="CAJERO 5X2"/>
    <n v="1406"/>
    <n v="18.190000000000001"/>
    <n v="14"/>
    <n v="1.2061999999999999"/>
    <s v="03 a 02 m 13 d"/>
    <d v="2023-04-04T00:00:00"/>
    <d v="2026-06-16T00:00:00"/>
    <s v="Activo"/>
    <n v="2907"/>
    <x v="4"/>
    <n v="38.966666666666669"/>
  </r>
  <r>
    <x v="8"/>
    <n v="304"/>
    <s v="FLORES VASQUEZ, SOLEDAD MARILU"/>
    <s v="CAJERO 3X4"/>
    <n v="930"/>
    <n v="25.78"/>
    <n v="14"/>
    <n v="1.7101"/>
    <s v="03 a 02 m 16 d"/>
    <d v="2023-04-01T00:00:00"/>
    <d v="2026-06-16T00:00:00"/>
    <s v="Activo"/>
    <n v="3839"/>
    <x v="4"/>
    <n v="39.06666666666667"/>
  </r>
  <r>
    <x v="5"/>
    <n v="468"/>
    <s v="NAVARRO CIENFUEGOS, PATRICIA DEL PILAR"/>
    <s v="CAJERO 5X2 2DO TURNO"/>
    <n v="1816"/>
    <n v="17.149999999999999"/>
    <n v="14"/>
    <n v="1.1375"/>
    <s v="03 a 03 m 09 d"/>
    <d v="2023-03-08T00:00:00"/>
    <d v="2026-06-16T00:00:00"/>
    <s v="Activo"/>
    <n v="27"/>
    <x v="4"/>
    <n v="39.866666666666667"/>
  </r>
  <r>
    <x v="9"/>
    <n v="268"/>
    <s v="GALVEZ MENDOZA, KAREN DEL MILAGRO"/>
    <s v="CAJERO 3X4"/>
    <n v="812"/>
    <n v="12.53"/>
    <n v="14"/>
    <n v="0.83130000000000004"/>
    <s v="03 a 04 m 02 d"/>
    <d v="2023-02-15T00:00:00"/>
    <d v="2026-06-16T00:00:00"/>
    <s v="Activo"/>
    <n v="359"/>
    <x v="4"/>
    <n v="40.56666666666667"/>
  </r>
  <r>
    <x v="5"/>
    <n v="463"/>
    <s v="LÁZARO MAZA, YENNYFER CARMEN FLOR"/>
    <s v="CAJERO 5X2 2DO TURNO"/>
    <n v="1775"/>
    <n v="15.29"/>
    <n v="14"/>
    <n v="1.0141"/>
    <s v="03 a 04 m 14 d"/>
    <d v="2023-02-03T00:00:00"/>
    <d v="2026-06-16T00:00:00"/>
    <s v="Activo"/>
    <n v="22"/>
    <x v="4"/>
    <n v="40.966666666666669"/>
  </r>
  <r>
    <x v="5"/>
    <n v="465"/>
    <s v="PASACHE OBLEA, ALBA"/>
    <s v="CAJERO 5X2"/>
    <n v="1081"/>
    <n v="16.5"/>
    <n v="14"/>
    <n v="1.0943000000000001"/>
    <s v="03 a 04 m 14 d"/>
    <d v="2023-02-03T00:00:00"/>
    <d v="2026-06-16T00:00:00"/>
    <s v="Activo"/>
    <n v="24"/>
    <x v="4"/>
    <n v="40.966666666666669"/>
  </r>
  <r>
    <x v="7"/>
    <n v="225"/>
    <s v="ECHE TIMANA, ROSA BEATRIZ"/>
    <s v="CAJERO 5X2"/>
    <n v="1204"/>
    <n v="22.25"/>
    <n v="14"/>
    <n v="1.4756"/>
    <s v="03 a 04 m 16 d"/>
    <d v="2023-02-01T00:00:00"/>
    <d v="2026-06-16T00:00:00"/>
    <s v="Activo"/>
    <n v="4713"/>
    <x v="4"/>
    <n v="41.033333333333331"/>
  </r>
  <r>
    <x v="8"/>
    <n v="337"/>
    <s v="GARCÍA CARBAJAL, ALEXANDRA ANGELA DEL ROCÍO"/>
    <s v="CAJERO 5X2 2DO TURNO"/>
    <n v="1231"/>
    <n v="16.18"/>
    <n v="14"/>
    <n v="1.0730999999999999"/>
    <s v="03 a 04 m 28 d"/>
    <d v="2023-01-20T00:00:00"/>
    <d v="2026-06-16T00:00:00"/>
    <s v="Activo"/>
    <n v="2746"/>
    <x v="4"/>
    <n v="41.43333333333333"/>
  </r>
  <r>
    <x v="5"/>
    <n v="641"/>
    <s v="GIRON CARHUAMACA, SANDRO GABRIEL"/>
    <s v="CAJERO 5X2 2DO TURNO"/>
    <n v="1174"/>
    <n v="14.43"/>
    <n v="14"/>
    <n v="0.95740000000000003"/>
    <s v="03 a 04 m 29 d"/>
    <d v="2023-01-19T00:00:00"/>
    <d v="2026-06-16T00:00:00"/>
    <s v="Activo"/>
    <n v="14"/>
    <x v="4"/>
    <n v="41.466666666666669"/>
  </r>
  <r>
    <x v="8"/>
    <n v="348"/>
    <s v="CASTILLO CONTRERAS, RAQUEL LUCERO"/>
    <s v="CAJERO 5X2 1ER TURNO"/>
    <n v="872"/>
    <n v="13.65"/>
    <n v="14"/>
    <n v="0.90539999999999998"/>
    <s v="03 a 05 m 05 d"/>
    <d v="2023-01-12T00:00:00"/>
    <d v="2026-06-16T00:00:00"/>
    <s v="Activo"/>
    <n v="14"/>
    <x v="4"/>
    <n v="41.7"/>
  </r>
  <r>
    <x v="8"/>
    <n v="184"/>
    <s v="VILLANUEVA PEREDA, MARITZA FRANCISCA"/>
    <s v="CAJERO 5X2 2DO TURNO"/>
    <n v="1364"/>
    <n v="17.690000000000001"/>
    <n v="14"/>
    <n v="1.1736"/>
    <s v="03 a 06 m 15 d"/>
    <d v="2022-12-02T00:00:00"/>
    <d v="2026-06-16T00:00:00"/>
    <s v="Activo"/>
    <n v="1916"/>
    <x v="4"/>
    <n v="43.06666666666667"/>
  </r>
  <r>
    <x v="1"/>
    <n v="124"/>
    <s v="SARMIENTO PEREZ, ANYELA ABIGAIL"/>
    <s v="CAJERO 5X2 1ER TURNO"/>
    <n v="1926"/>
    <n v="14.25"/>
    <n v="14"/>
    <n v="0.94530000000000003"/>
    <s v="03 a 06 m 25 d"/>
    <d v="2022-11-23T00:00:00"/>
    <d v="2026-06-16T00:00:00"/>
    <s v="Activo"/>
    <n v="39"/>
    <x v="4"/>
    <n v="43.366666666666667"/>
  </r>
  <r>
    <x v="1"/>
    <n v="123"/>
    <s v="TERRONES CHAPOÑAN, KAREN ELENA"/>
    <s v="CAJERO 5X2 2DO TURNO"/>
    <n v="1701"/>
    <n v="24.17"/>
    <n v="14"/>
    <n v="1.6033999999999999"/>
    <s v="03 a 06 m 25 d"/>
    <d v="2022-11-23T00:00:00"/>
    <d v="2026-06-16T00:00:00"/>
    <s v="Activo"/>
    <n v="3615"/>
    <x v="4"/>
    <n v="43.366666666666667"/>
  </r>
  <r>
    <x v="0"/>
    <n v="132"/>
    <s v="GUARNIZ CARRIL JHON DARWIN"/>
    <s v="CAJERO 5X2 1ER TURNO"/>
    <n v="329"/>
    <n v="11.33"/>
    <n v="14"/>
    <n v="0.75170000000000003"/>
    <s v="03 a 07 m 01 d"/>
    <d v="2022-11-16T00:00:00"/>
    <d v="2026-06-16T00:00:00"/>
    <s v="Cesadx"/>
    <n v="3"/>
    <x v="4"/>
    <n v="43.6"/>
  </r>
  <r>
    <x v="4"/>
    <n v="230"/>
    <s v="FLORES CUNGIA, LIZ MAGALI"/>
    <s v="CAJERO 5X2 1ER TURNO"/>
    <n v="839"/>
    <n v="11.93"/>
    <n v="14"/>
    <n v="0.79139999999999999"/>
    <s v="03 a 07 m 01 d"/>
    <d v="2022-11-16T00:00:00"/>
    <d v="2026-06-16T00:00:00"/>
    <s v="Activo"/>
    <n v="2"/>
    <x v="4"/>
    <n v="43.6"/>
  </r>
  <r>
    <x v="5"/>
    <n v="630"/>
    <s v="YOVERA RAMOS, JULIO ALONZO"/>
    <s v="CAJERO 5X2"/>
    <n v="894"/>
    <n v="14.81"/>
    <n v="14"/>
    <n v="0.98219999999999996"/>
    <s v="03 a 07 m 03 d"/>
    <d v="2022-11-14T00:00:00"/>
    <d v="2026-06-16T00:00:00"/>
    <s v="Activo"/>
    <n v="6"/>
    <x v="4"/>
    <n v="43.666666666666664"/>
  </r>
  <r>
    <x v="5"/>
    <n v="628"/>
    <s v="MENDOZA RAYMUNDO, NESTOR DEL PIERO"/>
    <s v="CAJERO 5X2 2DO TURNO"/>
    <n v="330"/>
    <n v="16.72"/>
    <n v="14"/>
    <n v="1.1088"/>
    <s v="03 a 07 m 15 d"/>
    <d v="2022-11-02T00:00:00"/>
    <d v="2026-06-16T00:00:00"/>
    <s v="Activo"/>
    <n v="4"/>
    <x v="4"/>
    <n v="44.06666666666667"/>
  </r>
  <r>
    <x v="5"/>
    <n v="447"/>
    <s v="CALDERÓN ESPINOZA, GEIDY GRAZIELLA"/>
    <s v="CAJERO 5X2 1ER TURNO"/>
    <n v="1231"/>
    <n v="14.38"/>
    <n v="14"/>
    <n v="0.9536"/>
    <s v="03 a 07 m 27 d"/>
    <d v="2022-10-21T00:00:00"/>
    <d v="2026-06-16T00:00:00"/>
    <s v="Activo"/>
    <n v="15"/>
    <x v="4"/>
    <n v="44.466666666666669"/>
  </r>
  <r>
    <x v="7"/>
    <n v="205"/>
    <s v="MOROCHO CRUZ, BRENDA LISSET"/>
    <s v="CAJERO 5X2 2DO TURNO"/>
    <n v="628"/>
    <n v="16.79"/>
    <n v="14"/>
    <n v="1.1138999999999999"/>
    <s v="03 a 08 m 11 d"/>
    <d v="2022-10-06T00:00:00"/>
    <d v="2026-06-16T00:00:00"/>
    <s v="Activo"/>
    <n v="1212"/>
    <x v="4"/>
    <n v="44.966666666666669"/>
  </r>
  <r>
    <x v="5"/>
    <n v="213"/>
    <s v="SEMINARIO VERASTEGUI, JUAN CARLOS"/>
    <s v="CAJERO 6X1"/>
    <n v="2713"/>
    <n v="16.45"/>
    <n v="14"/>
    <n v="1.091"/>
    <s v="03 a 08 m 16 d"/>
    <d v="2022-10-01T00:00:00"/>
    <d v="2026-06-16T00:00:00"/>
    <s v="Activo"/>
    <n v="120"/>
    <x v="4"/>
    <n v="45.133333333333333"/>
  </r>
  <r>
    <x v="9"/>
    <n v="236"/>
    <s v="GONZALES DIAZ, JENNIFER"/>
    <s v="CAJERO 5X2"/>
    <n v="1126"/>
    <n v="11.24"/>
    <n v="14"/>
    <n v="0.74519999999999997"/>
    <s v="03 a 08 m 18 d"/>
    <d v="2022-09-30T00:00:00"/>
    <d v="2026-06-16T00:00:00"/>
    <s v="Activo"/>
    <n v="14"/>
    <x v="4"/>
    <n v="45.166666666666664"/>
  </r>
  <r>
    <x v="2"/>
    <n v="129"/>
    <s v="MORQUENCHO HERRERA, JOHANNA KAROLAY"/>
    <s v="CAJERO 5X2 2DO TURNO"/>
    <n v="1211"/>
    <n v="13.24"/>
    <n v="14"/>
    <n v="0.87839999999999996"/>
    <s v="03 a 08 m 27 d"/>
    <d v="2022-09-21T00:00:00"/>
    <d v="2026-06-16T00:00:00"/>
    <s v="Activo"/>
    <n v="889"/>
    <x v="4"/>
    <n v="45.466666666666669"/>
  </r>
  <r>
    <x v="2"/>
    <n v="126"/>
    <s v="NIMA SALAZAR, EVELYN JACKELINE"/>
    <s v="CAJERO 5X2 1ER TURNO"/>
    <n v="562"/>
    <n v="13.24"/>
    <n v="14"/>
    <n v="0.87829999999999997"/>
    <s v="03 a 08 m 27 d"/>
    <d v="2022-09-21T00:00:00"/>
    <d v="2026-06-16T00:00:00"/>
    <s v="Activo"/>
    <n v="326"/>
    <x v="4"/>
    <n v="45.466666666666669"/>
  </r>
  <r>
    <x v="3"/>
    <n v="116"/>
    <s v="CASTRO MOGOLLON, VANIA KAROLAY"/>
    <s v="CAJERO 5X2 1ER TURNO"/>
    <n v="1083"/>
    <n v="19.829999999999998"/>
    <n v="28"/>
    <n v="1.3156000000000001"/>
    <s v="03 a 08 m 29 d"/>
    <d v="2022-09-19T00:00:00"/>
    <d v="2026-06-16T00:00:00"/>
    <s v="Activo"/>
    <n v="3067"/>
    <x v="4"/>
    <n v="45.533333333333331"/>
  </r>
  <r>
    <x v="5"/>
    <n v="432"/>
    <s v="PULACHE SUÁREZ, JUAN PABLO"/>
    <s v="CAJERO 5X2 2DO TURNO"/>
    <n v="496"/>
    <n v="14.42"/>
    <n v="14"/>
    <n v="0.95620000000000005"/>
    <s v="03 a 10 m 06 d"/>
    <d v="2022-08-11T00:00:00"/>
    <d v="2026-06-16T00:00:00"/>
    <s v="Activo"/>
    <n v="13"/>
    <x v="4"/>
    <n v="46.833333333333336"/>
  </r>
  <r>
    <x v="9"/>
    <n v="116"/>
    <s v="ARBULU ZEA DE MARIÑO, KARLA STEFANY"/>
    <s v="CAJERO 5X2 1ER TURNO"/>
    <n v="1235"/>
    <n v="12.71"/>
    <n v="14"/>
    <n v="0.84319999999999995"/>
    <s v="03 a 11 m 16 d"/>
    <d v="2022-07-01T00:00:00"/>
    <d v="2026-06-16T00:00:00"/>
    <s v="Activo"/>
    <n v="7"/>
    <x v="4"/>
    <n v="48.2"/>
  </r>
  <r>
    <x v="9"/>
    <n v="200"/>
    <s v="BONILLA BONILLA, ERICK STEVE"/>
    <s v="CAJERO 5X2 2DO TURNO"/>
    <n v="1553"/>
    <n v="15.18"/>
    <n v="14"/>
    <n v="1.0065"/>
    <s v="03 a 11 m 16 d"/>
    <d v="2022-07-01T00:00:00"/>
    <d v="2026-06-16T00:00:00"/>
    <s v="Activo"/>
    <n v="414"/>
    <x v="4"/>
    <n v="48.2"/>
  </r>
  <r>
    <x v="9"/>
    <n v="219"/>
    <s v="CAICEDO CUMPA, KEVIN YAMIR"/>
    <s v="CAJERO 5X2 2DO TURNO"/>
    <n v="1877"/>
    <n v="22.47"/>
    <n v="14"/>
    <n v="1.4902"/>
    <s v="03 a 11 m 16 d"/>
    <d v="2022-07-01T00:00:00"/>
    <d v="2026-06-16T00:00:00"/>
    <s v="Activo"/>
    <n v="2307"/>
    <x v="4"/>
    <n v="48.2"/>
  </r>
  <r>
    <x v="9"/>
    <n v="81"/>
    <s v="CHICOMA NAVEDA, STEPHANIE JUDITH"/>
    <s v="CAJERO 6X1"/>
    <n v="2279"/>
    <n v="13.89"/>
    <n v="14"/>
    <n v="0.92159999999999997"/>
    <s v="03 a 11 m 16 d"/>
    <d v="2022-07-01T00:00:00"/>
    <d v="2026-06-16T00:00:00"/>
    <s v="Activo"/>
    <n v="2981"/>
    <x v="4"/>
    <n v="48.2"/>
  </r>
  <r>
    <x v="9"/>
    <n v="107"/>
    <s v="DIAZ QUIROZ, JOSE GALENO"/>
    <s v="CAJERO 5X2 2DO TURNO"/>
    <n v="1124"/>
    <n v="12.01"/>
    <n v="14"/>
    <n v="0.79669999999999996"/>
    <s v="03 a 11 m 16 d"/>
    <d v="2022-07-01T00:00:00"/>
    <d v="2026-06-16T00:00:00"/>
    <s v="Activo"/>
    <n v="6"/>
    <x v="4"/>
    <n v="48.2"/>
  </r>
  <r>
    <x v="9"/>
    <n v="384"/>
    <s v="GOMEZ GUERRERO, MARIA ASUNCIONA"/>
    <s v="CAJERO 5X2"/>
    <n v="2836"/>
    <n v="15.96"/>
    <n v="14"/>
    <n v="1.0583"/>
    <s v="03 a 11 m 16 d"/>
    <d v="2022-07-01T00:00:00"/>
    <d v="2026-06-16T00:00:00"/>
    <s v="Activo"/>
    <n v="2243"/>
    <x v="4"/>
    <n v="48.2"/>
  </r>
  <r>
    <x v="9"/>
    <n v="120"/>
    <s v="HUARIPATA SALAZAR, CESAR MANUEL"/>
    <s v="CAJERO 5X2 2DO TURNO"/>
    <n v="973"/>
    <n v="12.3"/>
    <n v="14"/>
    <n v="0.81559999999999999"/>
    <s v="03 a 11 m 16 d"/>
    <d v="2022-07-01T00:00:00"/>
    <d v="2026-06-16T00:00:00"/>
    <s v="Activo"/>
    <n v="758"/>
    <x v="4"/>
    <n v="48.2"/>
  </r>
  <r>
    <x v="9"/>
    <n v="118"/>
    <s v="HUARIPATA SILVA, KAREN NICOL"/>
    <s v="CAJERO 5X2"/>
    <n v="1166"/>
    <n v="11.96"/>
    <n v="14"/>
    <n v="0.79300000000000004"/>
    <s v="03 a 11 m 16 d"/>
    <d v="2022-07-01T00:00:00"/>
    <d v="2026-06-16T00:00:00"/>
    <s v="Activo"/>
    <n v="8"/>
    <x v="4"/>
    <n v="48.2"/>
  </r>
  <r>
    <x v="9"/>
    <n v="144"/>
    <s v="NIQUEN JARAMILLO, ANA MARIA DEL PILAR"/>
    <s v="CAJERO 3X4"/>
    <n v="925"/>
    <n v="11.5"/>
    <n v="14"/>
    <n v="0.76290000000000002"/>
    <s v="03 a 11 m 16 d"/>
    <d v="2022-07-01T00:00:00"/>
    <d v="2026-06-16T00:00:00"/>
    <s v="Activo"/>
    <n v="365"/>
    <x v="4"/>
    <n v="48.2"/>
  </r>
  <r>
    <x v="9"/>
    <n v="360"/>
    <s v="PISCOYA VILLALOBOS, JACKELIN ELIZABETH"/>
    <s v="CAJERO 5X2 1ER TURNO"/>
    <n v="1464"/>
    <n v="13.14"/>
    <n v="14"/>
    <n v="0.87160000000000004"/>
    <s v="03 a 11 m 16 d"/>
    <d v="2022-07-01T00:00:00"/>
    <d v="2026-06-16T00:00:00"/>
    <s v="Activo"/>
    <n v="922"/>
    <x v="4"/>
    <n v="48.2"/>
  </r>
  <r>
    <x v="9"/>
    <n v="119"/>
    <s v="QUIROZ LOCONI, FABIOLA ESTEFANY"/>
    <s v="CAJERO 5X2"/>
    <n v="1650"/>
    <n v="14.08"/>
    <n v="14"/>
    <n v="0.93379999999999996"/>
    <s v="03 a 11 m 16 d"/>
    <d v="2022-07-01T00:00:00"/>
    <d v="2026-06-16T00:00:00"/>
    <s v="Activo"/>
    <n v="465"/>
    <x v="4"/>
    <n v="48.2"/>
  </r>
  <r>
    <x v="9"/>
    <n v="191"/>
    <s v="RODAS PALOMINO, ANITA ARLIZ"/>
    <s v="CAJERO 5X2"/>
    <n v="976"/>
    <n v="17.7"/>
    <n v="14"/>
    <n v="1.1738999999999999"/>
    <s v="03 a 11 m 16 d"/>
    <d v="2022-07-01T00:00:00"/>
    <d v="2026-06-16T00:00:00"/>
    <s v="Activo"/>
    <n v="1112"/>
    <x v="4"/>
    <n v="48.2"/>
  </r>
  <r>
    <x v="9"/>
    <n v="221"/>
    <s v="SAMILLAN PEREZ, GUADALUPE MARICIELO"/>
    <s v="CAJERO 5X2 1ER TURNO"/>
    <n v="1139"/>
    <n v="13.77"/>
    <n v="14"/>
    <n v="0.91349999999999998"/>
    <s v="03 a 11 m 16 d"/>
    <d v="2022-07-01T00:00:00"/>
    <d v="2026-06-16T00:00:00"/>
    <s v="Activo"/>
    <n v="1438"/>
    <x v="4"/>
    <n v="48.2"/>
  </r>
  <r>
    <x v="9"/>
    <n v="6"/>
    <s v="SUYON SUAREZ, MARILIN  SARITA"/>
    <s v="CAJERO 3X4"/>
    <n v="1507"/>
    <n v="15.04"/>
    <n v="14"/>
    <n v="0.99729999999999996"/>
    <s v="03 a 11 m 16 d"/>
    <d v="2022-07-01T00:00:00"/>
    <d v="2026-06-16T00:00:00"/>
    <s v="Activo"/>
    <n v="23"/>
    <x v="4"/>
    <n v="48.2"/>
  </r>
  <r>
    <x v="6"/>
    <n v="172"/>
    <s v="NAVEZ BENITES, TANIA MIRELLA"/>
    <s v="CAJERO 5X2 2DO TURNO"/>
    <n v="1171"/>
    <n v="13.39"/>
    <n v="15"/>
    <n v="0.88790000000000002"/>
    <s v="03 a 11 m 16 d"/>
    <d v="2022-07-01T00:00:00"/>
    <d v="2026-06-16T00:00:00"/>
    <s v="Activo"/>
    <n v="1161"/>
    <x v="4"/>
    <n v="48.2"/>
  </r>
  <r>
    <x v="6"/>
    <n v="219"/>
    <s v="TELLO CARBAJAL, KARINA DEL MILAGRO"/>
    <s v="CAJERO 6X1"/>
    <n v="2419"/>
    <n v="16.05"/>
    <n v="15"/>
    <n v="1.0647"/>
    <s v="03 a 11 m 16 d"/>
    <d v="2022-07-01T00:00:00"/>
    <d v="2026-06-16T00:00:00"/>
    <s v="Activo"/>
    <n v="2384"/>
    <x v="4"/>
    <n v="48.2"/>
  </r>
  <r>
    <x v="8"/>
    <n v="352"/>
    <s v="AZABACHE VERGARA, GEISER MARIA"/>
    <s v="CAJERO 5X2 1ER TURNO"/>
    <n v="1081"/>
    <n v="14.12"/>
    <n v="14"/>
    <n v="0.93669999999999998"/>
    <s v="03 a 11 m 16 d"/>
    <d v="2022-07-01T00:00:00"/>
    <d v="2026-06-16T00:00:00"/>
    <s v="Activo"/>
    <n v="1254"/>
    <x v="4"/>
    <n v="48.2"/>
  </r>
  <r>
    <x v="8"/>
    <n v="343"/>
    <s v="CASTRO AVALOS, JENNIFER JESSICA"/>
    <s v="CAJERO 6X1"/>
    <n v="2572"/>
    <n v="16.32"/>
    <n v="14"/>
    <n v="1.0823"/>
    <s v="03 a 11 m 16 d"/>
    <d v="2022-07-01T00:00:00"/>
    <d v="2026-06-16T00:00:00"/>
    <s v="Activo"/>
    <n v="4556"/>
    <x v="4"/>
    <n v="48.2"/>
  </r>
  <r>
    <x v="8"/>
    <n v="8"/>
    <s v="CORTIJO RODRIGUEZ, YAMILL SOLANGHE"/>
    <s v="CAJERO 5X2 1ER TURNO"/>
    <n v="1264"/>
    <n v="12.01"/>
    <n v="14"/>
    <n v="0.79690000000000005"/>
    <s v="03 a 11 m 16 d"/>
    <d v="2022-07-01T00:00:00"/>
    <d v="2026-06-16T00:00:00"/>
    <s v="Activo"/>
    <n v="174"/>
    <x v="4"/>
    <n v="48.2"/>
  </r>
  <r>
    <x v="8"/>
    <n v="161"/>
    <s v="CRUZ BACILIO, SARA HAYDI"/>
    <s v="CAJERO 5X2 1ER TURNO"/>
    <n v="787"/>
    <n v="17.850000000000001"/>
    <n v="14"/>
    <n v="1.1841999999999999"/>
    <s v="03 a 11 m 16 d"/>
    <d v="2022-07-01T00:00:00"/>
    <d v="2026-06-16T00:00:00"/>
    <s v="Activo"/>
    <n v="1526"/>
    <x v="4"/>
    <n v="48.2"/>
  </r>
  <r>
    <x v="8"/>
    <n v="287"/>
    <s v="CRUZADO CAIPO, NELLY FORTUNATA"/>
    <s v="CAJERO 5X2 2DO TURNO"/>
    <n v="1038"/>
    <n v="9.65"/>
    <n v="14"/>
    <n v="0.63990000000000002"/>
    <s v="03 a 11 m 16 d"/>
    <d v="2022-07-01T00:00:00"/>
    <d v="2026-06-16T00:00:00"/>
    <s v="Activo"/>
    <n v="7"/>
    <x v="4"/>
    <n v="48.2"/>
  </r>
  <r>
    <x v="8"/>
    <n v="58"/>
    <s v="FLORES REYNA, MARIA ELENA"/>
    <s v="CAJERO 5X2 1ER TURNO"/>
    <n v="1158"/>
    <n v="11.83"/>
    <n v="14"/>
    <n v="0.78480000000000005"/>
    <s v="03 a 11 m 16 d"/>
    <d v="2022-07-01T00:00:00"/>
    <d v="2026-06-16T00:00:00"/>
    <s v="Activo"/>
    <n v="487"/>
    <x v="4"/>
    <n v="48.2"/>
  </r>
  <r>
    <x v="8"/>
    <n v="134"/>
    <s v="GUTIERREZ ELERA, DIANA KATHERINE"/>
    <s v="CAJERO 5X2"/>
    <n v="1146"/>
    <n v="22.86"/>
    <n v="14"/>
    <n v="1.5161"/>
    <s v="03 a 11 m 16 d"/>
    <d v="2022-07-01T00:00:00"/>
    <d v="2026-06-16T00:00:00"/>
    <s v="Activo"/>
    <n v="4902"/>
    <x v="4"/>
    <n v="48.2"/>
  </r>
  <r>
    <x v="8"/>
    <n v="72"/>
    <s v="LAVADO CASTILLO, VELSI ANAIS"/>
    <s v="CAJERO 3X4"/>
    <n v="843"/>
    <n v="11.9"/>
    <n v="14"/>
    <n v="0.78910000000000002"/>
    <s v="03 a 11 m 16 d"/>
    <d v="2022-07-01T00:00:00"/>
    <d v="2026-06-16T00:00:00"/>
    <s v="Activo"/>
    <n v="2"/>
    <x v="4"/>
    <n v="48.2"/>
  </r>
  <r>
    <x v="8"/>
    <n v="192"/>
    <s v="LOPEZ SANCHEZ, JESSENIA CATHERINE"/>
    <s v="CAJERO 5X2 1ER TURNO"/>
    <n v="1045"/>
    <n v="13.65"/>
    <n v="14"/>
    <n v="0.90539999999999998"/>
    <s v="03 a 11 m 16 d"/>
    <d v="2022-07-01T00:00:00"/>
    <d v="2026-06-16T00:00:00"/>
    <s v="Activo"/>
    <n v="1582"/>
    <x v="4"/>
    <n v="48.2"/>
  </r>
  <r>
    <x v="8"/>
    <n v="283"/>
    <s v="MARQUINA NEYRA, MAYLLY KIMBERLY"/>
    <s v="CAJERO 3X4"/>
    <n v="966"/>
    <n v="14.37"/>
    <n v="14"/>
    <n v="0.95330000000000004"/>
    <s v="03 a 11 m 16 d"/>
    <d v="2022-07-01T00:00:00"/>
    <d v="2026-06-16T00:00:00"/>
    <s v="Activo"/>
    <n v="2525"/>
    <x v="4"/>
    <n v="48.2"/>
  </r>
  <r>
    <x v="8"/>
    <n v="294"/>
    <s v="MORAN AGUIRRE, LISETH MAYDOLY"/>
    <s v="CAJERO 3X4"/>
    <n v="776"/>
    <n v="12.95"/>
    <n v="14"/>
    <n v="0.85880000000000001"/>
    <s v="03 a 11 m 16 d"/>
    <d v="2022-07-01T00:00:00"/>
    <d v="2026-06-16T00:00:00"/>
    <s v="Activo"/>
    <n v="441"/>
    <x v="4"/>
    <n v="48.2"/>
  </r>
  <r>
    <x v="8"/>
    <n v="322"/>
    <s v="OBESO MALACAS, GIOVANNI FREIZER"/>
    <s v="CAJERO 5X2 2DO TURNO"/>
    <n v="940"/>
    <n v="12.86"/>
    <n v="14"/>
    <n v="0.85299999999999998"/>
    <s v="03 a 11 m 16 d"/>
    <d v="2022-07-01T00:00:00"/>
    <d v="2026-06-16T00:00:00"/>
    <s v="Activo"/>
    <n v="9"/>
    <x v="4"/>
    <n v="48.2"/>
  </r>
  <r>
    <x v="8"/>
    <n v="285"/>
    <s v="ROMERO CHIROQUE, CELIA ELIZABETH"/>
    <s v="CAJERO 6X1"/>
    <n v="2415"/>
    <n v="15.54"/>
    <n v="14"/>
    <n v="1.0306"/>
    <s v="03 a 11 m 16 d"/>
    <d v="2022-07-01T00:00:00"/>
    <d v="2026-06-16T00:00:00"/>
    <s v="Activo"/>
    <n v="2095"/>
    <x v="4"/>
    <n v="48.2"/>
  </r>
  <r>
    <x v="8"/>
    <n v="143"/>
    <s v="TANTA RÍOS, GILIA KARINA"/>
    <s v="CAJERO 5X2 2DO TURNO"/>
    <n v="1391"/>
    <n v="21.71"/>
    <n v="14"/>
    <n v="1.4397"/>
    <s v="03 a 11 m 16 d"/>
    <d v="2022-07-01T00:00:00"/>
    <d v="2026-06-16T00:00:00"/>
    <s v="Activo"/>
    <n v="4804"/>
    <x v="4"/>
    <n v="48.2"/>
  </r>
  <r>
    <x v="8"/>
    <n v="349"/>
    <s v="VALDIVIA TORRES, KARINA JOHANA"/>
    <s v="CAJERO 5X2 1ER TURNO"/>
    <n v="726"/>
    <n v="14.25"/>
    <n v="14"/>
    <n v="0.94510000000000005"/>
    <s v="03 a 11 m 16 d"/>
    <d v="2022-07-01T00:00:00"/>
    <d v="2026-06-16T00:00:00"/>
    <s v="Activo"/>
    <n v="6"/>
    <x v="4"/>
    <n v="48.2"/>
  </r>
  <r>
    <x v="8"/>
    <n v="127"/>
    <s v="VALVERDE RODRIGUEZ, YANELA NICOL"/>
    <s v="CAJERO 5X2"/>
    <n v="1114"/>
    <n v="14.26"/>
    <n v="14"/>
    <n v="0.94569999999999999"/>
    <s v="03 a 11 m 16 d"/>
    <d v="2022-07-01T00:00:00"/>
    <d v="2026-06-16T00:00:00"/>
    <s v="Activo"/>
    <n v="2129"/>
    <x v="4"/>
    <n v="48.2"/>
  </r>
  <r>
    <x v="8"/>
    <n v="6"/>
    <s v="VEGA GARCÍA, FRANK ANTHONY"/>
    <s v="CAJERO 5X2 2DO TURNO"/>
    <n v="1011"/>
    <n v="19.97"/>
    <n v="14"/>
    <n v="1.3246"/>
    <s v="03 a 11 m 16 d"/>
    <d v="2022-07-01T00:00:00"/>
    <d v="2026-06-16T00:00:00"/>
    <s v="Activo"/>
    <n v="3836"/>
    <x v="4"/>
    <n v="48.2"/>
  </r>
  <r>
    <x v="8"/>
    <n v="154"/>
    <s v="VERA URQUIAGA, GIULIANA JENNIFER"/>
    <s v="CAJERO 5X2 2DO TURNO"/>
    <n v="1397"/>
    <n v="19.309999999999999"/>
    <n v="14"/>
    <n v="1.2808999999999999"/>
    <s v="03 a 11 m 16 d"/>
    <d v="2022-07-01T00:00:00"/>
    <d v="2026-06-16T00:00:00"/>
    <s v="Activo"/>
    <n v="4914"/>
    <x v="4"/>
    <n v="48.2"/>
  </r>
  <r>
    <x v="0"/>
    <n v="86"/>
    <s v="PUICON CHAVESTA, IVONNE JACKELINE"/>
    <s v="CAJERO 5X2 2DO TURNO"/>
    <n v="1624"/>
    <n v="14.74"/>
    <n v="14"/>
    <n v="0.97789999999999999"/>
    <s v="03 a 11 m 16 d"/>
    <d v="2022-07-01T00:00:00"/>
    <d v="2026-06-16T00:00:00"/>
    <s v="Activo"/>
    <n v="648"/>
    <x v="4"/>
    <n v="48.2"/>
  </r>
  <r>
    <x v="0"/>
    <n v="29"/>
    <s v="VASQUEZ DE LA PIEDRA, EBERTH JUNIOR"/>
    <s v="CAJERO 6X1"/>
    <n v="314"/>
    <n v="13.59"/>
    <n v="14"/>
    <n v="0.90139999999999998"/>
    <s v="03 a 11 m 16 d"/>
    <d v="2022-07-01T00:00:00"/>
    <d v="2026-06-16T00:00:00"/>
    <s v="Activo"/>
    <n v="410"/>
    <x v="4"/>
    <n v="48.2"/>
  </r>
  <r>
    <x v="0"/>
    <n v="34"/>
    <s v="YAURE LOPEZ, MALU  SIRIA"/>
    <s v="CAJERO 5X2"/>
    <n v="1326"/>
    <n v="15.31"/>
    <n v="14"/>
    <n v="1.0152000000000001"/>
    <s v="03 a 11 m 16 d"/>
    <d v="2022-07-01T00:00:00"/>
    <d v="2026-06-16T00:00:00"/>
    <s v="Activo"/>
    <n v="1283"/>
    <x v="4"/>
    <n v="48.2"/>
  </r>
  <r>
    <x v="7"/>
    <n v="82"/>
    <s v="CRUZ CASTILLO, ROSA"/>
    <s v="CAJERO 6X1"/>
    <n v="2090"/>
    <n v="14.91"/>
    <n v="14"/>
    <n v="0.98919999999999997"/>
    <s v="03 a 11 m 16 d"/>
    <d v="2022-07-01T00:00:00"/>
    <d v="2026-06-16T00:00:00"/>
    <s v="Activo"/>
    <n v="421"/>
    <x v="4"/>
    <n v="48.2"/>
  </r>
  <r>
    <x v="7"/>
    <n v="75"/>
    <s v="PAZOS RAMIREZ, CINTHIA ELIZABETH"/>
    <s v="CAJERO 5X2 2DO TURNO"/>
    <n v="1425"/>
    <n v="19.95"/>
    <n v="14"/>
    <n v="1.323"/>
    <s v="03 a 11 m 16 d"/>
    <d v="2022-07-01T00:00:00"/>
    <d v="2026-06-16T00:00:00"/>
    <s v="Activo"/>
    <n v="2848"/>
    <x v="4"/>
    <n v="48.2"/>
  </r>
  <r>
    <x v="7"/>
    <n v="74"/>
    <s v="ZETA TEMOCHE DE MORAN, FLOR  MARIA"/>
    <s v="CAJERO 6X1"/>
    <n v="1994"/>
    <n v="12.8"/>
    <n v="14"/>
    <n v="0.84919999999999995"/>
    <s v="03 a 11 m 16 d"/>
    <d v="2022-07-01T00:00:00"/>
    <d v="2026-06-16T00:00:00"/>
    <s v="Activo"/>
    <n v="433"/>
    <x v="4"/>
    <n v="48.2"/>
  </r>
  <r>
    <x v="5"/>
    <n v="233"/>
    <s v="CORDOVA HUAMAN, JOSSELY JESUS"/>
    <s v="CAJERO 5X2 1ER TURNO"/>
    <n v="1036"/>
    <n v="14.69"/>
    <n v="14"/>
    <n v="0.97440000000000004"/>
    <s v="03 a 11 m 16 d"/>
    <d v="2022-07-01T00:00:00"/>
    <d v="2026-06-16T00:00:00"/>
    <s v="Activo"/>
    <n v="25"/>
    <x v="4"/>
    <n v="48.2"/>
  </r>
  <r>
    <x v="5"/>
    <n v="625"/>
    <s v="GARCIA VILELA, FERNANDO JAVIER"/>
    <s v="CAJERO 6X1"/>
    <n v="574"/>
    <n v="15.45"/>
    <n v="14"/>
    <n v="1.0246"/>
    <s v="03 a 11 m 16 d"/>
    <d v="2022-07-01T00:00:00"/>
    <d v="2026-06-16T00:00:00"/>
    <s v="Activo"/>
    <n v="2"/>
    <x v="4"/>
    <n v="48.2"/>
  </r>
  <r>
    <x v="5"/>
    <n v="616"/>
    <s v="NAMUCHE ZAPATA, ANDERSSON ALBERTO"/>
    <s v="CAJERO 6X1"/>
    <n v="2278"/>
    <n v="14.37"/>
    <n v="14"/>
    <n v="0.95309999999999995"/>
    <s v="03 a 11 m 16 d"/>
    <d v="2022-07-01T00:00:00"/>
    <d v="2026-06-16T00:00:00"/>
    <s v="Activo"/>
    <n v="35"/>
    <x v="4"/>
    <n v="48.2"/>
  </r>
  <r>
    <x v="5"/>
    <n v="106"/>
    <s v="TOCTO CAMPOVERDE, DALILA"/>
    <s v="CAJERO 6X1"/>
    <n v="2843"/>
    <n v="14.27"/>
    <n v="14"/>
    <n v="0.94640000000000002"/>
    <s v="03 a 11 m 16 d"/>
    <d v="2022-07-01T00:00:00"/>
    <d v="2026-06-16T00:00:00"/>
    <s v="Activo"/>
    <n v="27"/>
    <x v="4"/>
    <n v="48.2"/>
  </r>
  <r>
    <x v="5"/>
    <n v="12"/>
    <s v="ZAPATA LEYTON DE YACILA, ROSA ELENA"/>
    <s v="CAJERO 5X2 1ER TURNO"/>
    <n v="1339"/>
    <n v="13.63"/>
    <n v="14"/>
    <n v="0.90369999999999995"/>
    <s v="03 a 11 m 16 d"/>
    <d v="2022-07-01T00:00:00"/>
    <d v="2026-06-16T00:00:00"/>
    <s v="Activo"/>
    <n v="13"/>
    <x v="4"/>
    <n v="48.2"/>
  </r>
  <r>
    <x v="5"/>
    <n v="510"/>
    <s v="ZAPATA PERALTA, MARY ALISON"/>
    <s v="CAJERO 5X2 1ER TURNO"/>
    <n v="1147"/>
    <n v="14.22"/>
    <n v="14"/>
    <n v="0.94350000000000001"/>
    <s v="03 a 11 m 16 d"/>
    <d v="2022-07-01T00:00:00"/>
    <d v="2026-06-16T00:00:00"/>
    <s v="Activo"/>
    <n v="10"/>
    <x v="4"/>
    <n v="48.2"/>
  </r>
  <r>
    <x v="5"/>
    <n v="364"/>
    <s v="ZUÑIGA FLORES, JULIO CESAR"/>
    <s v="CAJERO 5X2 2DO TURNO"/>
    <n v="732"/>
    <n v="16.77"/>
    <n v="14"/>
    <n v="1.1123000000000001"/>
    <s v="03 a 11 m 16 d"/>
    <d v="2022-07-01T00:00:00"/>
    <d v="2026-06-16T00:00:00"/>
    <s v="Activo"/>
    <n v="16"/>
    <x v="4"/>
    <n v="48.2"/>
  </r>
  <r>
    <x v="3"/>
    <n v="40"/>
    <s v="FLORES LOPEZ, LUCY LIZBET"/>
    <s v="CAJERO 6X1"/>
    <n v="1705"/>
    <n v="18.989999999999998"/>
    <n v="28"/>
    <n v="1.2594000000000001"/>
    <s v="03 a 11 m 16 d"/>
    <d v="2022-07-01T00:00:00"/>
    <d v="2026-06-16T00:00:00"/>
    <s v="Activo"/>
    <n v="2324"/>
    <x v="4"/>
    <n v="48.2"/>
  </r>
  <r>
    <x v="3"/>
    <n v="110"/>
    <s v="GUTIERREZ NAVARRO, CHRIS YOLISET"/>
    <s v="CAJERO 5X2 2DO TURNO"/>
    <n v="1203"/>
    <n v="22.05"/>
    <n v="28"/>
    <n v="1.4628000000000001"/>
    <s v="03 a 11 m 16 d"/>
    <d v="2022-07-01T00:00:00"/>
    <d v="2026-06-16T00:00:00"/>
    <s v="Activo"/>
    <n v="4444"/>
    <x v="4"/>
    <n v="48.2"/>
  </r>
  <r>
    <x v="3"/>
    <n v="2"/>
    <s v="RIVERA FIGUEROA, MONICA MARIEL"/>
    <s v="CAJERO 5X2 1ER TURNO"/>
    <n v="1191"/>
    <n v="16.2"/>
    <n v="28"/>
    <n v="1.0747"/>
    <s v="03 a 11 m 16 d"/>
    <d v="2022-07-01T00:00:00"/>
    <d v="2026-06-16T00:00:00"/>
    <s v="Activo"/>
    <n v="1275"/>
    <x v="4"/>
    <n v="48.2"/>
  </r>
  <r>
    <x v="3"/>
    <n v="32"/>
    <s v="VILLAR FLORES, MARíA ISABEL"/>
    <s v="CAJERO 3X4"/>
    <n v="1032"/>
    <n v="18.27"/>
    <n v="28"/>
    <n v="1.2119"/>
    <s v="03 a 11 m 16 d"/>
    <d v="2022-07-01T00:00:00"/>
    <d v="2026-06-16T00:00:00"/>
    <s v="Activo"/>
    <n v="2229"/>
    <x v="4"/>
    <n v="48.2"/>
  </r>
  <r>
    <x v="3"/>
    <n v="24"/>
    <s v="ZAPATA SILVA, SHIRLEY ROSMERY"/>
    <s v="CAJERO 6X1"/>
    <n v="1917"/>
    <n v="17.43"/>
    <n v="28"/>
    <n v="1.1557999999999999"/>
    <s v="03 a 11 m 16 d"/>
    <d v="2022-07-01T00:00:00"/>
    <d v="2026-06-16T00:00:00"/>
    <s v="Activo"/>
    <n v="2398"/>
    <x v="4"/>
    <n v="48.2"/>
  </r>
  <r>
    <x v="2"/>
    <n v="94"/>
    <s v="ANTEZANA TÁVARA, KAREN YESSENIA"/>
    <s v="CAJERO 5X2"/>
    <n v="951"/>
    <n v="12.85"/>
    <n v="14"/>
    <n v="0.85229999999999995"/>
    <s v="03 a 11 m 16 d"/>
    <d v="2022-07-01T00:00:00"/>
    <d v="2026-06-16T00:00:00"/>
    <s v="Activo"/>
    <n v="18"/>
    <x v="4"/>
    <n v="48.2"/>
  </r>
  <r>
    <x v="2"/>
    <n v="105"/>
    <s v="DEZAR CARMEN, ADERLY"/>
    <s v="CAJERO 5X2"/>
    <n v="1013"/>
    <n v="13.37"/>
    <n v="14"/>
    <n v="0.88690000000000002"/>
    <s v="03 a 11 m 16 d"/>
    <d v="2022-07-01T00:00:00"/>
    <d v="2026-06-16T00:00:00"/>
    <s v="Activo"/>
    <n v="430"/>
    <x v="4"/>
    <n v="48.2"/>
  </r>
  <r>
    <x v="2"/>
    <n v="100"/>
    <s v="ESTRADA BARRETO, DYRCY YULIANA"/>
    <s v="CAJERO 5X2 1ER TURNO"/>
    <n v="895"/>
    <n v="11.44"/>
    <n v="14"/>
    <n v="0.75900000000000001"/>
    <s v="03 a 11 m 16 d"/>
    <d v="2022-07-01T00:00:00"/>
    <d v="2026-06-16T00:00:00"/>
    <s v="Activo"/>
    <n v="1012"/>
    <x v="4"/>
    <n v="48.2"/>
  </r>
  <r>
    <x v="2"/>
    <n v="85"/>
    <s v="GOMEZ VALVERDE, CARLOS ENRIQUE"/>
    <s v="CAJERO 6X1"/>
    <n v="1264"/>
    <n v="8.84"/>
    <n v="14"/>
    <n v="0.58620000000000005"/>
    <s v="03 a 11 m 16 d"/>
    <d v="2022-07-01T00:00:00"/>
    <d v="2026-06-16T00:00:00"/>
    <s v="Activo"/>
    <n v="724"/>
    <x v="4"/>
    <n v="48.2"/>
  </r>
  <r>
    <x v="2"/>
    <n v="123"/>
    <s v="HIDALGO ECHE, GERSOM HAIR"/>
    <s v="CAJERO 3X4"/>
    <n v="482"/>
    <n v="11.46"/>
    <n v="14"/>
    <n v="0.76029999999999998"/>
    <s v="03 a 11 m 16 d"/>
    <d v="2022-07-01T00:00:00"/>
    <d v="2026-06-16T00:00:00"/>
    <s v="Activo"/>
    <n v="18"/>
    <x v="4"/>
    <n v="48.2"/>
  </r>
  <r>
    <x v="2"/>
    <n v="122"/>
    <s v="MACHARÉ MOGOLLÓN, ESTEFANY YAJAIRA"/>
    <s v="CAJERO 3X4"/>
    <n v="445"/>
    <n v="10.65"/>
    <n v="14"/>
    <n v="0.70650000000000002"/>
    <s v="03 a 11 m 16 d"/>
    <d v="2022-07-01T00:00:00"/>
    <d v="2026-06-16T00:00:00"/>
    <s v="Activo"/>
    <n v="379"/>
    <x v="4"/>
    <n v="48.2"/>
  </r>
  <r>
    <x v="2"/>
    <n v="110"/>
    <s v="PERALTA CORONADO, MILAGROS LILIANA"/>
    <s v="CAJERO 5X2"/>
    <n v="699"/>
    <n v="17.489999999999998"/>
    <n v="14"/>
    <n v="1.1597"/>
    <s v="03 a 11 m 16 d"/>
    <d v="2022-07-01T00:00:00"/>
    <d v="2026-06-16T00:00:00"/>
    <s v="Activo"/>
    <n v="2737"/>
    <x v="4"/>
    <n v="48.2"/>
  </r>
  <r>
    <x v="2"/>
    <n v="80"/>
    <s v="VALDIVIA BENITES, VANIA LUCIA"/>
    <s v="CAJERO 5X2 1ER TURNO"/>
    <n v="856"/>
    <n v="12.77"/>
    <n v="14"/>
    <n v="0.84709999999999996"/>
    <s v="03 a 11 m 16 d"/>
    <d v="2022-07-01T00:00:00"/>
    <d v="2026-06-16T00:00:00"/>
    <s v="Activo"/>
    <n v="367"/>
    <x v="4"/>
    <n v="48.2"/>
  </r>
  <r>
    <x v="10"/>
    <n v="71"/>
    <s v="AGURTO MARCHAN, SHEYLA DEL PILAR"/>
    <s v="CAJERO 5X2 2DO TURNO"/>
    <n v="831"/>
    <n v="13.68"/>
    <n v="14"/>
    <n v="0.90739999999999998"/>
    <s v="03 a 11 m 16 d"/>
    <d v="2022-07-01T00:00:00"/>
    <d v="2026-06-16T00:00:00"/>
    <s v="Activo"/>
    <n v="8"/>
    <x v="4"/>
    <n v="48.2"/>
  </r>
  <r>
    <x v="10"/>
    <n v="219"/>
    <s v="ANTON PURIZACA, HERMINIA NOELIA"/>
    <s v="CAJERO 5X2 1ER TURNO"/>
    <n v="1147"/>
    <n v="14.7"/>
    <n v="14"/>
    <n v="0.97499999999999998"/>
    <s v="03 a 11 m 16 d"/>
    <d v="2022-07-01T00:00:00"/>
    <d v="2026-06-16T00:00:00"/>
    <s v="Activo"/>
    <n v="676"/>
    <x v="4"/>
    <n v="48.2"/>
  </r>
  <r>
    <x v="10"/>
    <n v="39"/>
    <s v="BAYONA POMA, GERALDINE INMACULADA"/>
    <s v="CAJERO 5X2"/>
    <n v="790"/>
    <n v="13.84"/>
    <n v="14"/>
    <n v="0.91820000000000002"/>
    <s v="03 a 11 m 16 d"/>
    <d v="2022-07-01T00:00:00"/>
    <d v="2026-06-16T00:00:00"/>
    <s v="Activo"/>
    <n v="685"/>
    <x v="4"/>
    <n v="48.2"/>
  </r>
  <r>
    <x v="10"/>
    <n v="172"/>
    <s v="CHALCO TABOADA, SARITA ELIZABETH"/>
    <s v="CAJERO 5X2 2DO TURNO"/>
    <n v="937"/>
    <n v="15.46"/>
    <n v="14"/>
    <n v="1.0256000000000001"/>
    <s v="03 a 11 m 16 d"/>
    <d v="2022-07-01T00:00:00"/>
    <d v="2026-06-16T00:00:00"/>
    <s v="Activo"/>
    <n v="907"/>
    <x v="4"/>
    <n v="48.2"/>
  </r>
  <r>
    <x v="10"/>
    <n v="176"/>
    <s v="CORREA YACILA, ROCIO AZUCENA"/>
    <s v="CAJERO 5X2 1ER TURNO"/>
    <n v="1054"/>
    <n v="15.53"/>
    <n v="14"/>
    <n v="1.0303"/>
    <s v="03 a 11 m 16 d"/>
    <d v="2022-07-01T00:00:00"/>
    <d v="2026-06-16T00:00:00"/>
    <s v="Activo"/>
    <n v="918"/>
    <x v="4"/>
    <n v="48.2"/>
  </r>
  <r>
    <x v="10"/>
    <n v="73"/>
    <s v="FIESTAS AZALDEGUI, JENNIFER PIERINA"/>
    <s v="CAJERO 5X2 2DO TURNO"/>
    <n v="834"/>
    <n v="13.4"/>
    <n v="14"/>
    <n v="0.88870000000000005"/>
    <s v="03 a 11 m 16 d"/>
    <d v="2022-07-01T00:00:00"/>
    <d v="2026-06-16T00:00:00"/>
    <s v="Activo"/>
    <n v="886"/>
    <x v="4"/>
    <n v="48.2"/>
  </r>
  <r>
    <x v="10"/>
    <n v="190"/>
    <s v="FIESTAS VIVAS, DEMMY YACIRA"/>
    <s v="CAJERO 5X2 1ER TURNO"/>
    <n v="1149"/>
    <n v="15.93"/>
    <n v="14"/>
    <n v="1.0564"/>
    <s v="03 a 11 m 16 d"/>
    <d v="2022-07-01T00:00:00"/>
    <d v="2026-06-16T00:00:00"/>
    <s v="Activo"/>
    <n v="1678"/>
    <x v="4"/>
    <n v="48.2"/>
  </r>
  <r>
    <x v="10"/>
    <n v="183"/>
    <s v="MAURICIO VILLAR, SIDNEY LISBETH"/>
    <s v="CAJERO 5X2 1ER TURNO"/>
    <n v="958"/>
    <n v="12.8"/>
    <n v="14"/>
    <n v="0.84889999999999999"/>
    <s v="03 a 11 m 16 d"/>
    <d v="2022-07-01T00:00:00"/>
    <d v="2026-06-16T00:00:00"/>
    <s v="Activo"/>
    <n v="622"/>
    <x v="4"/>
    <n v="48.2"/>
  </r>
  <r>
    <x v="10"/>
    <n v="130"/>
    <s v="RUIZ GARCIA, FIORELLA LIZBETH"/>
    <s v="CAJERO 5X2"/>
    <n v="745"/>
    <n v="16.559999999999999"/>
    <n v="14"/>
    <n v="1.0984"/>
    <s v="03 a 11 m 16 d"/>
    <d v="2022-07-01T00:00:00"/>
    <d v="2026-06-16T00:00:00"/>
    <s v="Activo"/>
    <n v="1107"/>
    <x v="4"/>
    <n v="48.2"/>
  </r>
  <r>
    <x v="10"/>
    <n v="129"/>
    <s v="SULLON LADINES, JULEISY JUNICOL"/>
    <s v="CAJERO 6X1"/>
    <n v="1240"/>
    <n v="14.23"/>
    <n v="14"/>
    <n v="0.94410000000000005"/>
    <s v="03 a 11 m 16 d"/>
    <d v="2022-07-01T00:00:00"/>
    <d v="2026-06-16T00:00:00"/>
    <s v="Activo"/>
    <n v="1189"/>
    <x v="4"/>
    <n v="48.2"/>
  </r>
  <r>
    <x v="10"/>
    <n v="82"/>
    <s v="VERGARA VALLADARES, GISSELA  LOURDES"/>
    <s v="CAJERO 5X2 1ER TURNO"/>
    <n v="1138"/>
    <n v="13.73"/>
    <n v="14"/>
    <n v="0.91090000000000004"/>
    <s v="03 a 11 m 16 d"/>
    <d v="2022-07-01T00:00:00"/>
    <d v="2026-06-16T00:00:00"/>
    <s v="Activo"/>
    <n v="36"/>
    <x v="4"/>
    <n v="48.2"/>
  </r>
  <r>
    <x v="4"/>
    <n v="81"/>
    <s v="CHEVEZ ROJAS, ANTONY JUNIOR"/>
    <s v="CAJERO 5X2"/>
    <n v="1039"/>
    <n v="13.75"/>
    <n v="14"/>
    <n v="0.91190000000000004"/>
    <s v="03 a 11 m 16 d"/>
    <d v="2022-07-01T00:00:00"/>
    <d v="2026-06-16T00:00:00"/>
    <s v="Activo"/>
    <n v="959"/>
    <x v="4"/>
    <n v="48.2"/>
  </r>
  <r>
    <x v="4"/>
    <n v="39"/>
    <s v="DELGADO ARTEAGA, WENDY BEATRIZ"/>
    <s v="CAJERO 5X2 1ER TURNO"/>
    <n v="1038"/>
    <n v="12.08"/>
    <n v="14"/>
    <n v="0.80130000000000001"/>
    <s v="03 a 11 m 16 d"/>
    <d v="2022-07-01T00:00:00"/>
    <d v="2026-06-16T00:00:00"/>
    <s v="Activo"/>
    <n v="11"/>
    <x v="4"/>
    <n v="48.2"/>
  </r>
  <r>
    <x v="4"/>
    <n v="70"/>
    <s v="MADRID PEÑA, MARGOTH NOEMI"/>
    <s v="CAJERO 6X1"/>
    <n v="2354"/>
    <n v="18.809999999999999"/>
    <n v="14"/>
    <n v="1.2477"/>
    <s v="03 a 11 m 16 d"/>
    <d v="2022-07-01T00:00:00"/>
    <d v="2026-06-16T00:00:00"/>
    <s v="Activo"/>
    <n v="5509"/>
    <x v="4"/>
    <n v="48.2"/>
  </r>
  <r>
    <x v="4"/>
    <n v="190"/>
    <s v="RODRIGUEZ MORAN, ELY LIZETH"/>
    <s v="CAJERO 5X2 2DO TURNO"/>
    <n v="1069"/>
    <n v="14.8"/>
    <n v="14"/>
    <n v="0.98170000000000002"/>
    <s v="03 a 11 m 16 d"/>
    <d v="2022-07-01T00:00:00"/>
    <d v="2026-06-16T00:00:00"/>
    <s v="Activo"/>
    <n v="1107"/>
    <x v="4"/>
    <n v="48.2"/>
  </r>
  <r>
    <x v="4"/>
    <n v="86"/>
    <s v="VILLALTA MORÁN, CAMILA LISBETH"/>
    <s v="CAJERO 5X2 2DO TURNO"/>
    <n v="1044"/>
    <n v="13.37"/>
    <n v="14"/>
    <n v="0.88670000000000004"/>
    <s v="03 a 11 m 16 d"/>
    <d v="2022-07-01T00:00:00"/>
    <d v="2026-06-16T00:00:00"/>
    <s v="Activo"/>
    <n v="3"/>
    <x v="4"/>
    <n v="48.2"/>
  </r>
  <r>
    <x v="0"/>
    <n v="98"/>
    <s v="GOMEZ IPANAQUE BILLY"/>
    <s v="CAJERO 5X2 2DO TURNO"/>
    <n v="779"/>
    <n v="13.16"/>
    <n v="14"/>
    <n v="0.87260000000000004"/>
    <s v="05 a 03 m 05 d"/>
    <d v="2021-03-12T00:00:00"/>
    <d v="2026-06-16T00:00:00"/>
    <s v="Cesadx"/>
    <n v="203"/>
    <x v="4"/>
    <n v="64.0666666666666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247E4-BD34-4C7F-A7C2-02A9A9593DD0}" name="TablaDinámica6" cacheId="23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7">
  <location ref="B19:G32" firstHeaderRow="1" firstDataRow="2" firstDataCol="1"/>
  <pivotFields count="15">
    <pivotField axis="axisRow" showAll="0">
      <items count="12">
        <item x="9"/>
        <item x="1"/>
        <item x="6"/>
        <item x="8"/>
        <item x="0"/>
        <item x="7"/>
        <item x="5"/>
        <item x="3"/>
        <item x="2"/>
        <item x="1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numFmtId="22"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43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>
      <x v="4"/>
    </i>
  </colItems>
  <dataFields count="1">
    <dataField name="Promedio de Unid x Minuto" fld="5" subtotal="average" baseField="13" baseItem="0" numFmtId="164"/>
  </dataFields>
  <formats count="15">
    <format dxfId="84">
      <pivotArea outline="0" collapsedLevelsAreSubtotals="1" fieldPosition="0"/>
    </format>
    <format dxfId="85">
      <pivotArea dataOnly="0" outline="0" fieldPosition="0">
        <references count="1">
          <reference field="4294967294" count="1">
            <x v="0"/>
          </reference>
        </references>
      </pivotArea>
    </format>
    <format dxfId="83">
      <pivotArea collapsedLevelsAreSubtotals="1" fieldPosition="0">
        <references count="2">
          <reference field="0" count="1">
            <x v="2"/>
          </reference>
          <reference field="13" count="1" selected="0">
            <x v="1"/>
          </reference>
        </references>
      </pivotArea>
    </format>
    <format dxfId="82">
      <pivotArea collapsedLevelsAreSubtotals="1" fieldPosition="0">
        <references count="2">
          <reference field="0" count="1">
            <x v="0"/>
          </reference>
          <reference field="13" count="2" selected="0">
            <x v="2"/>
            <x v="3"/>
          </reference>
        </references>
      </pivotArea>
    </format>
    <format dxfId="81">
      <pivotArea collapsedLevelsAreSubtotals="1" fieldPosition="0">
        <references count="2">
          <reference field="0" count="1">
            <x v="1"/>
          </reference>
          <reference field="13" count="1" selected="0">
            <x v="1"/>
          </reference>
        </references>
      </pivotArea>
    </format>
    <format dxfId="74">
      <pivotArea collapsedLevelsAreSubtotals="1" fieldPosition="0">
        <references count="2">
          <reference field="0" count="1">
            <x v="0"/>
          </reference>
          <reference field="13" count="1" selected="0">
            <x v="4"/>
          </reference>
        </references>
      </pivotArea>
    </format>
    <format dxfId="60">
      <pivotArea dataOnly="0" outline="0" fieldPosition="0">
        <references count="1">
          <reference field="13" count="0"/>
        </references>
      </pivotArea>
    </format>
    <format dxfId="58">
      <pivotArea dataOnly="0" outline="0" fieldPosition="0">
        <references count="1">
          <reference field="13" count="0"/>
        </references>
      </pivotArea>
    </format>
    <format dxfId="57">
      <pivotArea dataOnly="0" outline="0" fieldPosition="0">
        <references count="1">
          <reference field="13" count="0"/>
        </references>
      </pivotArea>
    </format>
    <format dxfId="56">
      <pivotArea collapsedLevelsAreSubtotals="1" fieldPosition="0">
        <references count="2">
          <reference field="0" count="1">
            <x v="1"/>
          </reference>
          <reference field="13" count="1" selected="0">
            <x v="4"/>
          </reference>
        </references>
      </pivotArea>
    </format>
    <format dxfId="55">
      <pivotArea collapsedLevelsAreSubtotals="1" fieldPosition="0">
        <references count="2">
          <reference field="0" count="1">
            <x v="1"/>
          </reference>
          <reference field="13" count="1" selected="0">
            <x v="4"/>
          </reference>
        </references>
      </pivotArea>
    </format>
    <format dxfId="54">
      <pivotArea collapsedLevelsAreSubtotals="1" fieldPosition="0">
        <references count="2">
          <reference field="0" count="1">
            <x v="1"/>
          </reference>
          <reference field="13" count="2" selected="0">
            <x v="2"/>
            <x v="3"/>
          </reference>
        </references>
      </pivotArea>
    </format>
    <format dxfId="53">
      <pivotArea collapsedLevelsAreSubtotals="1" fieldPosition="0">
        <references count="2">
          <reference field="0" count="1">
            <x v="2"/>
          </reference>
          <reference field="13" count="1" selected="0">
            <x v="4"/>
          </reference>
        </references>
      </pivotArea>
    </format>
    <format dxfId="49">
      <pivotArea collapsedLevelsAreSubtotals="1" fieldPosition="0">
        <references count="2">
          <reference field="0" count="1">
            <x v="8"/>
          </reference>
          <reference field="13" count="3" selected="0">
            <x v="2"/>
            <x v="3"/>
            <x v="4"/>
          </reference>
        </references>
      </pivotArea>
    </format>
    <format dxfId="48">
      <pivotArea collapsedLevelsAreSubtotals="1" fieldPosition="0">
        <references count="2">
          <reference field="0" count="1">
            <x v="10"/>
          </reference>
          <reference field="13" count="1" selected="0">
            <x v="3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D96D3-B7AE-41C6-8A74-6A80D3C98F8B}" name="TablaDinámica5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:D9" firstHeaderRow="0" firstDataRow="1" firstDataCol="1"/>
  <pivotFields count="15">
    <pivotField showAll="0">
      <items count="12">
        <item x="9"/>
        <item x="1"/>
        <item x="6"/>
        <item x="8"/>
        <item x="0"/>
        <item x="7"/>
        <item x="5"/>
        <item x="3"/>
        <item x="2"/>
        <item x="10"/>
        <item x="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numFmtId="10" showAll="0"/>
    <pivotField showAll="0"/>
    <pivotField numFmtId="22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43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Unid x Minuto" fld="5" subtotal="average" baseField="13" baseItem="0" numFmtId="164"/>
    <dataField name="Cuenta de Colaborador" fld="2" subtotal="count" baseField="0" baseItem="0"/>
  </dataFields>
  <formats count="3">
    <format dxfId="88">
      <pivotArea outline="0" collapsedLevelsAreSubtotals="1" fieldPosition="0"/>
    </format>
    <format dxfId="87">
      <pivotArea dataOnly="0" outline="0" fieldPosition="0">
        <references count="1">
          <reference field="4294967294" count="1">
            <x v="1"/>
          </reference>
        </references>
      </pivotArea>
    </format>
    <format dxfId="86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" xr10:uid="{8DAA2207-D057-4F54-8888-8EC067546B0A}" sourceName="Local">
  <pivotTables>
    <pivotTable tabId="2" name="TablaDinámica5"/>
  </pivotTables>
  <data>
    <tabular pivotCacheId="1138687158">
      <items count="11">
        <i x="9" s="1"/>
        <i x="1" s="1"/>
        <i x="6" s="1"/>
        <i x="8" s="1"/>
        <i x="0" s="1"/>
        <i x="7" s="1"/>
        <i x="5" s="1"/>
        <i x="3" s="1"/>
        <i x="2" s="1"/>
        <i x="1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l" xr10:uid="{CF51A546-323A-4480-AA4E-AA32D09E1248}" cache="SegmentaciónDeDatos_Local" caption="Local" startItem="1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5DCD-82EE-4F9A-B582-AC7652C3BF37}">
  <dimension ref="B3:G32"/>
  <sheetViews>
    <sheetView showGridLines="0" tabSelected="1" workbookViewId="0">
      <selection activeCell="M19" sqref="M19"/>
    </sheetView>
  </sheetViews>
  <sheetFormatPr baseColWidth="10" defaultRowHeight="14.4" x14ac:dyDescent="0.3"/>
  <cols>
    <col min="1" max="1" width="5" customWidth="1"/>
    <col min="2" max="2" width="17.109375" bestFit="1" customWidth="1"/>
    <col min="3" max="3" width="24.44140625" bestFit="1" customWidth="1"/>
    <col min="4" max="4" width="20.5546875" bestFit="1" customWidth="1"/>
    <col min="5" max="5" width="17.33203125" bestFit="1" customWidth="1"/>
    <col min="6" max="6" width="13" bestFit="1" customWidth="1"/>
    <col min="7" max="7" width="15.33203125" customWidth="1"/>
    <col min="8" max="8" width="11.88671875" bestFit="1" customWidth="1"/>
  </cols>
  <sheetData>
    <row r="3" spans="2:4" x14ac:dyDescent="0.3">
      <c r="B3" s="5" t="s">
        <v>508</v>
      </c>
      <c r="C3" s="7" t="s">
        <v>515</v>
      </c>
      <c r="D3" s="8" t="s">
        <v>516</v>
      </c>
    </row>
    <row r="4" spans="2:4" x14ac:dyDescent="0.3">
      <c r="B4" s="6" t="s">
        <v>509</v>
      </c>
      <c r="C4" s="7">
        <v>13.308648648648646</v>
      </c>
      <c r="D4" s="8">
        <v>37</v>
      </c>
    </row>
    <row r="5" spans="2:4" x14ac:dyDescent="0.3">
      <c r="B5" s="6" t="s">
        <v>511</v>
      </c>
      <c r="C5" s="7">
        <v>14.213181818181821</v>
      </c>
      <c r="D5" s="8">
        <v>22</v>
      </c>
    </row>
    <row r="6" spans="2:4" x14ac:dyDescent="0.3">
      <c r="B6" s="6" t="s">
        <v>512</v>
      </c>
      <c r="C6" s="7">
        <v>14.596122448979594</v>
      </c>
      <c r="D6" s="8">
        <v>49</v>
      </c>
    </row>
    <row r="7" spans="2:4" x14ac:dyDescent="0.3">
      <c r="B7" s="6" t="s">
        <v>510</v>
      </c>
      <c r="C7" s="7">
        <v>14.363333333333335</v>
      </c>
      <c r="D7" s="8">
        <v>42</v>
      </c>
    </row>
    <row r="8" spans="2:4" x14ac:dyDescent="0.3">
      <c r="B8" s="6" t="s">
        <v>513</v>
      </c>
      <c r="C8" s="7">
        <v>15.449880952380949</v>
      </c>
      <c r="D8" s="8">
        <v>168</v>
      </c>
    </row>
    <row r="9" spans="2:4" x14ac:dyDescent="0.3">
      <c r="B9" s="6" t="s">
        <v>514</v>
      </c>
      <c r="C9" s="7">
        <v>14.840125786163519</v>
      </c>
      <c r="D9" s="8">
        <v>318</v>
      </c>
    </row>
    <row r="19" spans="2:7" x14ac:dyDescent="0.3">
      <c r="B19" s="5" t="s">
        <v>515</v>
      </c>
      <c r="C19" s="5" t="s">
        <v>517</v>
      </c>
    </row>
    <row r="20" spans="2:7" x14ac:dyDescent="0.3">
      <c r="B20" s="5" t="s">
        <v>508</v>
      </c>
      <c r="C20" s="9" t="s">
        <v>509</v>
      </c>
      <c r="D20" s="9" t="s">
        <v>511</v>
      </c>
      <c r="E20" s="9" t="s">
        <v>512</v>
      </c>
      <c r="F20" s="9" t="s">
        <v>510</v>
      </c>
      <c r="G20" s="9" t="s">
        <v>513</v>
      </c>
    </row>
    <row r="21" spans="2:7" x14ac:dyDescent="0.3">
      <c r="B21" s="6" t="s">
        <v>110</v>
      </c>
      <c r="C21" s="9">
        <v>14.45</v>
      </c>
      <c r="D21" s="9"/>
      <c r="E21" s="10">
        <v>11.939166666666667</v>
      </c>
      <c r="F21" s="10">
        <v>12.602857142857143</v>
      </c>
      <c r="G21" s="10">
        <v>14.260833333333332</v>
      </c>
    </row>
    <row r="22" spans="2:7" x14ac:dyDescent="0.3">
      <c r="B22" s="6" t="s">
        <v>21</v>
      </c>
      <c r="C22" s="9">
        <v>12.007999999999999</v>
      </c>
      <c r="D22" s="11">
        <v>15.06</v>
      </c>
      <c r="E22" s="13">
        <v>14.552857142857144</v>
      </c>
      <c r="F22" s="13">
        <v>14.176666666666668</v>
      </c>
      <c r="G22" s="12">
        <v>17.112500000000001</v>
      </c>
    </row>
    <row r="23" spans="2:7" x14ac:dyDescent="0.3">
      <c r="B23" s="6" t="s">
        <v>48</v>
      </c>
      <c r="C23" s="9">
        <v>14.741249999999999</v>
      </c>
      <c r="D23" s="10">
        <v>11.399999999999999</v>
      </c>
      <c r="E23" s="9">
        <v>15.970000000000002</v>
      </c>
      <c r="F23" s="9">
        <v>16.357999999999997</v>
      </c>
      <c r="G23" s="10">
        <v>14.501666666666667</v>
      </c>
    </row>
    <row r="24" spans="2:7" x14ac:dyDescent="0.3">
      <c r="B24" s="6" t="s">
        <v>105</v>
      </c>
      <c r="C24" s="9">
        <v>12.72</v>
      </c>
      <c r="D24" s="9"/>
      <c r="E24" s="9"/>
      <c r="F24" s="9">
        <v>14.753636363636362</v>
      </c>
      <c r="G24" s="9">
        <v>15.821818181818179</v>
      </c>
    </row>
    <row r="25" spans="2:7" x14ac:dyDescent="0.3">
      <c r="B25" s="6" t="s">
        <v>14</v>
      </c>
      <c r="C25" s="9">
        <v>10.598000000000001</v>
      </c>
      <c r="D25" s="9">
        <v>11.92</v>
      </c>
      <c r="E25" s="9">
        <v>13.116666666666665</v>
      </c>
      <c r="F25" s="9">
        <v>14.65</v>
      </c>
      <c r="G25" s="9">
        <v>15.323333333333332</v>
      </c>
    </row>
    <row r="26" spans="2:7" x14ac:dyDescent="0.3">
      <c r="B26" s="6" t="s">
        <v>100</v>
      </c>
      <c r="C26" s="9"/>
      <c r="D26" s="9">
        <v>15.92</v>
      </c>
      <c r="E26" s="9">
        <v>17.073333333333334</v>
      </c>
      <c r="F26" s="9"/>
      <c r="G26" s="9">
        <v>16.637333333333331</v>
      </c>
    </row>
    <row r="27" spans="2:7" x14ac:dyDescent="0.3">
      <c r="B27" s="6" t="s">
        <v>37</v>
      </c>
      <c r="C27" s="9">
        <v>13.405555555555557</v>
      </c>
      <c r="D27" s="9">
        <v>14.070000000000002</v>
      </c>
      <c r="E27" s="9"/>
      <c r="F27" s="9">
        <v>15.658333333333333</v>
      </c>
      <c r="G27" s="9">
        <v>15.207619047619046</v>
      </c>
    </row>
    <row r="28" spans="2:7" x14ac:dyDescent="0.3">
      <c r="B28" s="6" t="s">
        <v>29</v>
      </c>
      <c r="C28" s="9">
        <v>16.0625</v>
      </c>
      <c r="D28" s="9">
        <v>17.107500000000002</v>
      </c>
      <c r="E28" s="9">
        <v>27.62</v>
      </c>
      <c r="F28" s="9"/>
      <c r="G28" s="9">
        <v>21.992000000000001</v>
      </c>
    </row>
    <row r="29" spans="2:7" x14ac:dyDescent="0.3">
      <c r="B29" s="6" t="s">
        <v>26</v>
      </c>
      <c r="C29" s="9">
        <v>15.13</v>
      </c>
      <c r="D29" s="9"/>
      <c r="E29" s="10">
        <v>12.62</v>
      </c>
      <c r="F29" s="10">
        <v>12.785</v>
      </c>
      <c r="G29" s="10">
        <v>12.546250000000001</v>
      </c>
    </row>
    <row r="30" spans="2:7" x14ac:dyDescent="0.3">
      <c r="B30" s="6" t="s">
        <v>137</v>
      </c>
      <c r="C30" s="9"/>
      <c r="D30" s="9"/>
      <c r="E30" s="9">
        <v>14.23</v>
      </c>
      <c r="F30" s="9"/>
      <c r="G30" s="9">
        <v>14.971176470588237</v>
      </c>
    </row>
    <row r="31" spans="2:7" x14ac:dyDescent="0.3">
      <c r="B31" s="6" t="s">
        <v>33</v>
      </c>
      <c r="C31" s="9">
        <v>11.42</v>
      </c>
      <c r="D31" s="9"/>
      <c r="E31" s="9">
        <v>14.854999999999999</v>
      </c>
      <c r="F31" s="10">
        <v>13.268333333333331</v>
      </c>
      <c r="G31" s="9">
        <v>14.777000000000001</v>
      </c>
    </row>
    <row r="32" spans="2:7" x14ac:dyDescent="0.3">
      <c r="B32" s="6" t="s">
        <v>514</v>
      </c>
      <c r="C32" s="9">
        <v>13.308648648648647</v>
      </c>
      <c r="D32" s="9">
        <v>14.213181818181818</v>
      </c>
      <c r="E32" s="9">
        <v>14.596122448979587</v>
      </c>
      <c r="F32" s="9">
        <v>14.363333333333335</v>
      </c>
      <c r="G32" s="9">
        <v>15.449880952380955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67ED-191C-407E-A327-6B30B20929DF}">
  <dimension ref="A1:O319"/>
  <sheetViews>
    <sheetView workbookViewId="0">
      <selection sqref="A1:O319"/>
    </sheetView>
  </sheetViews>
  <sheetFormatPr baseColWidth="10" defaultRowHeight="14.4" x14ac:dyDescent="0.3"/>
  <cols>
    <col min="10" max="11" width="15.5546875" bestFit="1" customWidth="1"/>
    <col min="12" max="12" width="6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507</v>
      </c>
      <c r="O1" t="s">
        <v>13</v>
      </c>
    </row>
    <row r="2" spans="1:15" x14ac:dyDescent="0.3">
      <c r="A2" t="s">
        <v>14</v>
      </c>
      <c r="B2">
        <v>923</v>
      </c>
      <c r="C2" t="s">
        <v>15</v>
      </c>
      <c r="D2" t="s">
        <v>16</v>
      </c>
      <c r="E2">
        <v>90</v>
      </c>
      <c r="F2">
        <v>9.49</v>
      </c>
      <c r="G2">
        <v>14</v>
      </c>
      <c r="H2" s="1">
        <v>0.62919999999999998</v>
      </c>
      <c r="I2" t="s">
        <v>17</v>
      </c>
      <c r="J2" s="2">
        <v>46188</v>
      </c>
      <c r="K2" s="2">
        <v>46026</v>
      </c>
      <c r="L2" t="s">
        <v>18</v>
      </c>
      <c r="N2" t="str">
        <f>+IF(O2&lt;=3,"0 a 3 meses",IF(O2&lt;=6,"3 meses a 6 meses",IF(O2&lt;=12,"6 meses a 12 meses",IF(O2&lt;=24,"1 año a 2 años","mayor a 2 años"))))</f>
        <v>0 a 3 meses</v>
      </c>
      <c r="O2" s="3">
        <v>0</v>
      </c>
    </row>
    <row r="3" spans="1:15" x14ac:dyDescent="0.3">
      <c r="A3" t="s">
        <v>14</v>
      </c>
      <c r="B3">
        <v>918</v>
      </c>
      <c r="C3" t="s">
        <v>19</v>
      </c>
      <c r="D3" t="s">
        <v>16</v>
      </c>
      <c r="E3">
        <v>251</v>
      </c>
      <c r="F3">
        <v>7.28</v>
      </c>
      <c r="G3">
        <v>14</v>
      </c>
      <c r="H3" s="1">
        <v>0.4829</v>
      </c>
      <c r="I3" t="s">
        <v>20</v>
      </c>
      <c r="J3" s="2">
        <v>46185</v>
      </c>
      <c r="K3" s="4">
        <v>46189</v>
      </c>
      <c r="L3" t="s">
        <v>18</v>
      </c>
      <c r="M3">
        <v>312</v>
      </c>
      <c r="N3" t="str">
        <f t="shared" ref="N3:N66" si="0">+IF(O3&lt;=3,"0 a 3 meses",IF(O3&lt;=6,"3 meses a 6 meses",IF(O3&lt;=12,"6 meses a 12 meses",IF(O3&lt;=24,"1 año a 2 años","mayor a 2 años"))))</f>
        <v>0 a 3 meses</v>
      </c>
      <c r="O3" s="3">
        <f t="shared" ref="O3:O66" si="1">+(K3-J3)/30</f>
        <v>0.13333333333333333</v>
      </c>
    </row>
    <row r="4" spans="1:15" x14ac:dyDescent="0.3">
      <c r="A4" t="s">
        <v>21</v>
      </c>
      <c r="B4">
        <v>225</v>
      </c>
      <c r="C4" t="s">
        <v>22</v>
      </c>
      <c r="D4" t="s">
        <v>16</v>
      </c>
      <c r="E4">
        <v>86</v>
      </c>
      <c r="F4">
        <v>8.73</v>
      </c>
      <c r="G4">
        <v>14</v>
      </c>
      <c r="H4" s="1">
        <v>0.57869999999999999</v>
      </c>
      <c r="I4" t="s">
        <v>23</v>
      </c>
      <c r="J4" s="2">
        <v>46177</v>
      </c>
      <c r="K4" s="4">
        <v>46189</v>
      </c>
      <c r="L4" t="s">
        <v>18</v>
      </c>
      <c r="M4">
        <v>80</v>
      </c>
      <c r="N4" t="str">
        <f t="shared" si="0"/>
        <v>0 a 3 meses</v>
      </c>
      <c r="O4" s="3">
        <f t="shared" si="1"/>
        <v>0.4</v>
      </c>
    </row>
    <row r="5" spans="1:15" x14ac:dyDescent="0.3">
      <c r="A5" t="s">
        <v>21</v>
      </c>
      <c r="B5">
        <v>224</v>
      </c>
      <c r="C5" t="s">
        <v>24</v>
      </c>
      <c r="D5" t="s">
        <v>25</v>
      </c>
      <c r="E5">
        <v>142</v>
      </c>
      <c r="F5">
        <v>7.85</v>
      </c>
      <c r="G5">
        <v>14</v>
      </c>
      <c r="H5" s="1">
        <v>0.52039999999999997</v>
      </c>
      <c r="I5" t="s">
        <v>23</v>
      </c>
      <c r="J5" s="2">
        <v>46177</v>
      </c>
      <c r="K5" s="4">
        <v>46189</v>
      </c>
      <c r="L5" t="s">
        <v>18</v>
      </c>
      <c r="N5" t="str">
        <f t="shared" si="0"/>
        <v>0 a 3 meses</v>
      </c>
      <c r="O5" s="3">
        <f t="shared" si="1"/>
        <v>0.4</v>
      </c>
    </row>
    <row r="6" spans="1:15" x14ac:dyDescent="0.3">
      <c r="A6" t="s">
        <v>26</v>
      </c>
      <c r="B6">
        <v>13</v>
      </c>
      <c r="C6" t="s">
        <v>27</v>
      </c>
      <c r="D6" t="s">
        <v>25</v>
      </c>
      <c r="E6">
        <v>750</v>
      </c>
      <c r="F6">
        <v>15.13</v>
      </c>
      <c r="G6">
        <v>14</v>
      </c>
      <c r="H6" s="1">
        <v>1.0038</v>
      </c>
      <c r="I6" t="s">
        <v>28</v>
      </c>
      <c r="J6" s="2">
        <v>46174</v>
      </c>
      <c r="K6" s="2">
        <v>46173</v>
      </c>
      <c r="L6" t="s">
        <v>18</v>
      </c>
      <c r="M6">
        <v>1716</v>
      </c>
      <c r="N6" t="str">
        <f t="shared" si="0"/>
        <v>0 a 3 meses</v>
      </c>
      <c r="O6" s="3">
        <v>0</v>
      </c>
    </row>
    <row r="7" spans="1:15" x14ac:dyDescent="0.3">
      <c r="A7" t="s">
        <v>29</v>
      </c>
      <c r="B7">
        <v>164</v>
      </c>
      <c r="C7" t="s">
        <v>30</v>
      </c>
      <c r="D7" t="s">
        <v>16</v>
      </c>
      <c r="E7">
        <v>815</v>
      </c>
      <c r="F7">
        <v>14.58</v>
      </c>
      <c r="G7">
        <v>28</v>
      </c>
      <c r="H7" s="1">
        <v>0.96679999999999999</v>
      </c>
      <c r="I7" t="s">
        <v>31</v>
      </c>
      <c r="J7" s="2">
        <v>46171</v>
      </c>
      <c r="K7" s="4">
        <v>46189</v>
      </c>
      <c r="L7" t="s">
        <v>18</v>
      </c>
      <c r="M7">
        <v>3254</v>
      </c>
      <c r="N7" t="str">
        <f t="shared" si="0"/>
        <v>0 a 3 meses</v>
      </c>
      <c r="O7" s="3">
        <f t="shared" si="1"/>
        <v>0.6</v>
      </c>
    </row>
    <row r="8" spans="1:15" x14ac:dyDescent="0.3">
      <c r="A8" t="s">
        <v>29</v>
      </c>
      <c r="B8">
        <v>165</v>
      </c>
      <c r="C8" t="s">
        <v>32</v>
      </c>
      <c r="D8" t="s">
        <v>16</v>
      </c>
      <c r="E8">
        <v>751</v>
      </c>
      <c r="F8">
        <v>11.26</v>
      </c>
      <c r="G8">
        <v>28</v>
      </c>
      <c r="H8" s="1">
        <v>0.74670000000000003</v>
      </c>
      <c r="I8" t="s">
        <v>31</v>
      </c>
      <c r="J8" s="2">
        <v>46171</v>
      </c>
      <c r="K8" s="4">
        <v>46189</v>
      </c>
      <c r="L8" t="s">
        <v>18</v>
      </c>
      <c r="M8">
        <v>1896</v>
      </c>
      <c r="N8" t="str">
        <f t="shared" si="0"/>
        <v>0 a 3 meses</v>
      </c>
      <c r="O8" s="3">
        <f t="shared" si="1"/>
        <v>0.6</v>
      </c>
    </row>
    <row r="9" spans="1:15" x14ac:dyDescent="0.3">
      <c r="A9" t="s">
        <v>33</v>
      </c>
      <c r="B9">
        <v>258</v>
      </c>
      <c r="C9" t="s">
        <v>34</v>
      </c>
      <c r="D9" t="s">
        <v>25</v>
      </c>
      <c r="E9">
        <v>653</v>
      </c>
      <c r="F9">
        <v>8.3699999999999992</v>
      </c>
      <c r="G9">
        <v>14</v>
      </c>
      <c r="H9" s="1">
        <v>0.55530000000000002</v>
      </c>
      <c r="I9" t="s">
        <v>31</v>
      </c>
      <c r="J9" s="2">
        <v>46171</v>
      </c>
      <c r="K9" s="4">
        <v>46189</v>
      </c>
      <c r="L9" t="s">
        <v>18</v>
      </c>
      <c r="M9">
        <v>776</v>
      </c>
      <c r="N9" t="str">
        <f t="shared" si="0"/>
        <v>0 a 3 meses</v>
      </c>
      <c r="O9" s="3">
        <f t="shared" si="1"/>
        <v>0.6</v>
      </c>
    </row>
    <row r="10" spans="1:15" x14ac:dyDescent="0.3">
      <c r="A10" t="s">
        <v>14</v>
      </c>
      <c r="B10">
        <v>913</v>
      </c>
      <c r="C10" t="s">
        <v>35</v>
      </c>
      <c r="D10" t="s">
        <v>16</v>
      </c>
      <c r="E10">
        <v>1340</v>
      </c>
      <c r="F10">
        <v>12.01</v>
      </c>
      <c r="G10">
        <v>14</v>
      </c>
      <c r="H10" s="1">
        <v>0.79649999999999999</v>
      </c>
      <c r="I10" t="s">
        <v>36</v>
      </c>
      <c r="J10" s="2">
        <v>46170</v>
      </c>
      <c r="K10" s="4">
        <v>46189</v>
      </c>
      <c r="L10" t="s">
        <v>18</v>
      </c>
      <c r="M10">
        <v>828</v>
      </c>
      <c r="N10" t="str">
        <f t="shared" si="0"/>
        <v>0 a 3 meses</v>
      </c>
      <c r="O10" s="3">
        <f t="shared" si="1"/>
        <v>0.6333333333333333</v>
      </c>
    </row>
    <row r="11" spans="1:15" x14ac:dyDescent="0.3">
      <c r="A11" t="s">
        <v>37</v>
      </c>
      <c r="B11">
        <v>706</v>
      </c>
      <c r="C11" t="s">
        <v>38</v>
      </c>
      <c r="D11" t="s">
        <v>39</v>
      </c>
      <c r="E11">
        <v>400</v>
      </c>
      <c r="F11">
        <v>11.05</v>
      </c>
      <c r="G11">
        <v>14</v>
      </c>
      <c r="H11" s="1">
        <v>0.73299999999999998</v>
      </c>
      <c r="I11" t="s">
        <v>40</v>
      </c>
      <c r="J11" s="2">
        <v>46157</v>
      </c>
      <c r="K11" s="4">
        <v>46189</v>
      </c>
      <c r="L11" t="s">
        <v>18</v>
      </c>
      <c r="M11">
        <v>7</v>
      </c>
      <c r="N11" t="str">
        <f t="shared" si="0"/>
        <v>0 a 3 meses</v>
      </c>
      <c r="O11" s="3">
        <f t="shared" si="1"/>
        <v>1.0666666666666667</v>
      </c>
    </row>
    <row r="12" spans="1:15" x14ac:dyDescent="0.3">
      <c r="A12" t="s">
        <v>37</v>
      </c>
      <c r="B12">
        <v>705</v>
      </c>
      <c r="C12" t="s">
        <v>41</v>
      </c>
      <c r="D12" t="s">
        <v>39</v>
      </c>
      <c r="E12">
        <v>911</v>
      </c>
      <c r="F12">
        <v>11.03</v>
      </c>
      <c r="G12">
        <v>14</v>
      </c>
      <c r="H12" s="1">
        <v>0.73170000000000002</v>
      </c>
      <c r="I12" t="s">
        <v>40</v>
      </c>
      <c r="J12" s="2">
        <v>46157</v>
      </c>
      <c r="K12" s="4">
        <v>46189</v>
      </c>
      <c r="L12" t="s">
        <v>18</v>
      </c>
      <c r="M12">
        <v>17</v>
      </c>
      <c r="N12" t="str">
        <f t="shared" si="0"/>
        <v>0 a 3 meses</v>
      </c>
      <c r="O12" s="3">
        <f t="shared" si="1"/>
        <v>1.0666666666666667</v>
      </c>
    </row>
    <row r="13" spans="1:15" x14ac:dyDescent="0.3">
      <c r="A13" t="s">
        <v>37</v>
      </c>
      <c r="B13">
        <v>707</v>
      </c>
      <c r="C13" t="s">
        <v>42</v>
      </c>
      <c r="D13" t="s">
        <v>43</v>
      </c>
      <c r="E13">
        <v>1275</v>
      </c>
      <c r="F13">
        <v>13.01</v>
      </c>
      <c r="G13">
        <v>14</v>
      </c>
      <c r="H13" s="1">
        <v>0.86299999999999999</v>
      </c>
      <c r="I13" t="s">
        <v>40</v>
      </c>
      <c r="J13" s="2">
        <v>46157</v>
      </c>
      <c r="K13" s="4">
        <v>46189</v>
      </c>
      <c r="L13" t="s">
        <v>18</v>
      </c>
      <c r="M13">
        <v>12</v>
      </c>
      <c r="N13" t="str">
        <f t="shared" si="0"/>
        <v>0 a 3 meses</v>
      </c>
      <c r="O13" s="3">
        <f t="shared" si="1"/>
        <v>1.0666666666666667</v>
      </c>
    </row>
    <row r="14" spans="1:15" x14ac:dyDescent="0.3">
      <c r="A14" t="s">
        <v>14</v>
      </c>
      <c r="B14">
        <v>912</v>
      </c>
      <c r="C14" t="s">
        <v>44</v>
      </c>
      <c r="D14" t="s">
        <v>39</v>
      </c>
      <c r="E14">
        <v>774</v>
      </c>
      <c r="F14">
        <v>10.7</v>
      </c>
      <c r="G14">
        <v>14</v>
      </c>
      <c r="H14" s="1">
        <v>0.71</v>
      </c>
      <c r="I14" t="s">
        <v>45</v>
      </c>
      <c r="J14" s="2">
        <v>46156</v>
      </c>
      <c r="K14" s="4">
        <v>46189</v>
      </c>
      <c r="L14" t="s">
        <v>18</v>
      </c>
      <c r="M14">
        <v>1408</v>
      </c>
      <c r="N14" t="str">
        <f t="shared" si="0"/>
        <v>0 a 3 meses</v>
      </c>
      <c r="O14" s="3">
        <f t="shared" si="1"/>
        <v>1.1000000000000001</v>
      </c>
    </row>
    <row r="15" spans="1:15" x14ac:dyDescent="0.3">
      <c r="A15" t="s">
        <v>21</v>
      </c>
      <c r="B15">
        <v>223</v>
      </c>
      <c r="C15" t="s">
        <v>46</v>
      </c>
      <c r="D15" t="s">
        <v>16</v>
      </c>
      <c r="E15">
        <v>1479</v>
      </c>
      <c r="F15">
        <v>14.87</v>
      </c>
      <c r="G15">
        <v>14</v>
      </c>
      <c r="H15" s="1">
        <v>0.98650000000000004</v>
      </c>
      <c r="I15" t="s">
        <v>47</v>
      </c>
      <c r="J15" s="2">
        <v>46140</v>
      </c>
      <c r="K15" s="4">
        <v>46189</v>
      </c>
      <c r="L15" t="s">
        <v>18</v>
      </c>
      <c r="M15">
        <v>1276</v>
      </c>
      <c r="N15" t="str">
        <f t="shared" si="0"/>
        <v>0 a 3 meses</v>
      </c>
      <c r="O15" s="3">
        <f t="shared" si="1"/>
        <v>1.6333333333333333</v>
      </c>
    </row>
    <row r="16" spans="1:15" x14ac:dyDescent="0.3">
      <c r="A16" t="s">
        <v>48</v>
      </c>
      <c r="B16">
        <v>292</v>
      </c>
      <c r="C16" t="s">
        <v>49</v>
      </c>
      <c r="D16" t="s">
        <v>16</v>
      </c>
      <c r="E16">
        <v>1292</v>
      </c>
      <c r="F16">
        <v>23.66</v>
      </c>
      <c r="G16">
        <v>15</v>
      </c>
      <c r="H16" s="1">
        <v>1.569</v>
      </c>
      <c r="I16" t="s">
        <v>50</v>
      </c>
      <c r="J16" s="2">
        <v>46135</v>
      </c>
      <c r="K16" s="4">
        <v>46189</v>
      </c>
      <c r="L16" t="s">
        <v>18</v>
      </c>
      <c r="M16">
        <v>6986</v>
      </c>
      <c r="N16" t="str">
        <f t="shared" si="0"/>
        <v>0 a 3 meses</v>
      </c>
      <c r="O16" s="3">
        <f t="shared" si="1"/>
        <v>1.8</v>
      </c>
    </row>
    <row r="17" spans="1:15" x14ac:dyDescent="0.3">
      <c r="A17" t="s">
        <v>48</v>
      </c>
      <c r="B17">
        <v>291</v>
      </c>
      <c r="C17" t="s">
        <v>51</v>
      </c>
      <c r="D17" t="s">
        <v>25</v>
      </c>
      <c r="E17">
        <v>989</v>
      </c>
      <c r="F17">
        <v>10.74</v>
      </c>
      <c r="G17">
        <v>15</v>
      </c>
      <c r="H17" s="1">
        <v>0.71250000000000002</v>
      </c>
      <c r="I17" t="s">
        <v>50</v>
      </c>
      <c r="J17" s="2">
        <v>46135</v>
      </c>
      <c r="K17" s="4">
        <v>46189</v>
      </c>
      <c r="L17" t="s">
        <v>18</v>
      </c>
      <c r="M17">
        <v>2</v>
      </c>
      <c r="N17" t="str">
        <f t="shared" si="0"/>
        <v>0 a 3 meses</v>
      </c>
      <c r="O17" s="3">
        <f t="shared" si="1"/>
        <v>1.8</v>
      </c>
    </row>
    <row r="18" spans="1:15" x14ac:dyDescent="0.3">
      <c r="A18" t="s">
        <v>29</v>
      </c>
      <c r="B18">
        <v>163</v>
      </c>
      <c r="C18" t="s">
        <v>52</v>
      </c>
      <c r="D18" t="s">
        <v>43</v>
      </c>
      <c r="E18">
        <v>1238</v>
      </c>
      <c r="F18">
        <v>23.99</v>
      </c>
      <c r="G18">
        <v>28</v>
      </c>
      <c r="H18" s="1">
        <v>1.5909</v>
      </c>
      <c r="I18" t="s">
        <v>53</v>
      </c>
      <c r="J18" s="2">
        <v>46134</v>
      </c>
      <c r="K18" s="4">
        <v>46189</v>
      </c>
      <c r="L18" t="s">
        <v>18</v>
      </c>
      <c r="M18">
        <v>8163</v>
      </c>
      <c r="N18" t="str">
        <f t="shared" si="0"/>
        <v>0 a 3 meses</v>
      </c>
      <c r="O18" s="3">
        <f t="shared" si="1"/>
        <v>1.8333333333333333</v>
      </c>
    </row>
    <row r="19" spans="1:15" x14ac:dyDescent="0.3">
      <c r="A19" t="s">
        <v>29</v>
      </c>
      <c r="B19">
        <v>162</v>
      </c>
      <c r="C19" t="s">
        <v>54</v>
      </c>
      <c r="D19" t="s">
        <v>16</v>
      </c>
      <c r="E19">
        <v>1334</v>
      </c>
      <c r="F19">
        <v>14.42</v>
      </c>
      <c r="G19">
        <v>28</v>
      </c>
      <c r="H19" s="1">
        <v>0.95650000000000002</v>
      </c>
      <c r="I19" t="s">
        <v>53</v>
      </c>
      <c r="J19" s="2">
        <v>46134</v>
      </c>
      <c r="K19" s="4">
        <v>46189</v>
      </c>
      <c r="L19" t="s">
        <v>18</v>
      </c>
      <c r="M19">
        <v>2185</v>
      </c>
      <c r="N19" t="str">
        <f t="shared" si="0"/>
        <v>0 a 3 meses</v>
      </c>
      <c r="O19" s="3">
        <f t="shared" si="1"/>
        <v>1.8333333333333333</v>
      </c>
    </row>
    <row r="20" spans="1:15" x14ac:dyDescent="0.3">
      <c r="A20" t="s">
        <v>48</v>
      </c>
      <c r="B20">
        <v>287</v>
      </c>
      <c r="C20" t="s">
        <v>55</v>
      </c>
      <c r="D20" t="s">
        <v>16</v>
      </c>
      <c r="E20">
        <v>1410</v>
      </c>
      <c r="F20">
        <v>13.82</v>
      </c>
      <c r="G20">
        <v>15</v>
      </c>
      <c r="H20" s="1">
        <v>0.9163</v>
      </c>
      <c r="I20" t="s">
        <v>56</v>
      </c>
      <c r="J20" s="2">
        <v>46129</v>
      </c>
      <c r="K20" s="4">
        <v>46189</v>
      </c>
      <c r="L20" t="s">
        <v>18</v>
      </c>
      <c r="M20">
        <v>705</v>
      </c>
      <c r="N20" t="str">
        <f t="shared" si="0"/>
        <v>0 a 3 meses</v>
      </c>
      <c r="O20" s="3">
        <f t="shared" si="1"/>
        <v>2</v>
      </c>
    </row>
    <row r="21" spans="1:15" x14ac:dyDescent="0.3">
      <c r="A21" t="s">
        <v>48</v>
      </c>
      <c r="B21">
        <v>288</v>
      </c>
      <c r="C21" t="s">
        <v>57</v>
      </c>
      <c r="D21" t="s">
        <v>16</v>
      </c>
      <c r="E21">
        <v>1102</v>
      </c>
      <c r="F21">
        <v>13.22</v>
      </c>
      <c r="G21">
        <v>15</v>
      </c>
      <c r="H21" s="1">
        <v>0.87690000000000001</v>
      </c>
      <c r="I21" t="s">
        <v>56</v>
      </c>
      <c r="J21" s="2">
        <v>46129</v>
      </c>
      <c r="K21" s="4">
        <v>46189</v>
      </c>
      <c r="L21" t="s">
        <v>18</v>
      </c>
      <c r="M21">
        <v>1618</v>
      </c>
      <c r="N21" t="str">
        <f t="shared" si="0"/>
        <v>0 a 3 meses</v>
      </c>
      <c r="O21" s="3">
        <f t="shared" si="1"/>
        <v>2</v>
      </c>
    </row>
    <row r="22" spans="1:15" x14ac:dyDescent="0.3">
      <c r="A22" t="s">
        <v>48</v>
      </c>
      <c r="B22">
        <v>289</v>
      </c>
      <c r="C22" t="s">
        <v>58</v>
      </c>
      <c r="D22" t="s">
        <v>16</v>
      </c>
      <c r="E22">
        <v>849</v>
      </c>
      <c r="F22">
        <v>12.05</v>
      </c>
      <c r="G22">
        <v>15</v>
      </c>
      <c r="H22" s="1">
        <v>0.79949999999999999</v>
      </c>
      <c r="I22" t="s">
        <v>56</v>
      </c>
      <c r="J22" s="2">
        <v>46129</v>
      </c>
      <c r="K22" s="4">
        <v>46189</v>
      </c>
      <c r="L22" t="s">
        <v>18</v>
      </c>
      <c r="M22">
        <v>2</v>
      </c>
      <c r="N22" t="str">
        <f t="shared" si="0"/>
        <v>0 a 3 meses</v>
      </c>
      <c r="O22" s="3">
        <f t="shared" si="1"/>
        <v>2</v>
      </c>
    </row>
    <row r="23" spans="1:15" x14ac:dyDescent="0.3">
      <c r="A23" t="s">
        <v>48</v>
      </c>
      <c r="B23">
        <v>290</v>
      </c>
      <c r="C23" t="s">
        <v>59</v>
      </c>
      <c r="D23" t="s">
        <v>39</v>
      </c>
      <c r="E23">
        <v>940</v>
      </c>
      <c r="F23">
        <v>14.9</v>
      </c>
      <c r="G23">
        <v>15</v>
      </c>
      <c r="H23" s="1">
        <v>0.98819999999999997</v>
      </c>
      <c r="I23" t="s">
        <v>56</v>
      </c>
      <c r="J23" s="2">
        <v>46129</v>
      </c>
      <c r="K23" s="4">
        <v>46189</v>
      </c>
      <c r="L23" t="s">
        <v>18</v>
      </c>
      <c r="M23">
        <v>1420</v>
      </c>
      <c r="N23" t="str">
        <f t="shared" si="0"/>
        <v>0 a 3 meses</v>
      </c>
      <c r="O23" s="3">
        <f t="shared" si="1"/>
        <v>2</v>
      </c>
    </row>
    <row r="24" spans="1:15" x14ac:dyDescent="0.3">
      <c r="A24" t="s">
        <v>37</v>
      </c>
      <c r="B24">
        <v>704</v>
      </c>
      <c r="C24" t="s">
        <v>60</v>
      </c>
      <c r="D24" t="s">
        <v>25</v>
      </c>
      <c r="E24">
        <v>1268</v>
      </c>
      <c r="F24">
        <v>14.11</v>
      </c>
      <c r="G24">
        <v>14</v>
      </c>
      <c r="H24" s="1">
        <v>0.93610000000000004</v>
      </c>
      <c r="I24" t="s">
        <v>61</v>
      </c>
      <c r="J24" s="2">
        <v>46128</v>
      </c>
      <c r="K24" s="4">
        <v>46189</v>
      </c>
      <c r="L24" t="s">
        <v>18</v>
      </c>
      <c r="M24">
        <v>23</v>
      </c>
      <c r="N24" t="str">
        <f t="shared" si="0"/>
        <v>0 a 3 meses</v>
      </c>
      <c r="O24" s="3">
        <f t="shared" si="1"/>
        <v>2.0333333333333332</v>
      </c>
    </row>
    <row r="25" spans="1:15" x14ac:dyDescent="0.3">
      <c r="A25" t="s">
        <v>37</v>
      </c>
      <c r="B25">
        <v>703</v>
      </c>
      <c r="C25" t="s">
        <v>62</v>
      </c>
      <c r="D25" t="s">
        <v>25</v>
      </c>
      <c r="E25">
        <v>1456</v>
      </c>
      <c r="F25">
        <v>13.56</v>
      </c>
      <c r="G25">
        <v>14</v>
      </c>
      <c r="H25" s="1">
        <v>0.89970000000000006</v>
      </c>
      <c r="I25" t="s">
        <v>61</v>
      </c>
      <c r="J25" s="2">
        <v>46128</v>
      </c>
      <c r="K25" s="4">
        <v>46189</v>
      </c>
      <c r="L25" t="s">
        <v>18</v>
      </c>
      <c r="M25">
        <v>48</v>
      </c>
      <c r="N25" t="str">
        <f t="shared" si="0"/>
        <v>0 a 3 meses</v>
      </c>
      <c r="O25" s="3">
        <f t="shared" si="1"/>
        <v>2.0333333333333332</v>
      </c>
    </row>
    <row r="26" spans="1:15" x14ac:dyDescent="0.3">
      <c r="A26" t="s">
        <v>37</v>
      </c>
      <c r="B26">
        <v>26</v>
      </c>
      <c r="C26" t="s">
        <v>63</v>
      </c>
      <c r="D26" t="s">
        <v>25</v>
      </c>
      <c r="E26">
        <v>1300</v>
      </c>
      <c r="F26">
        <v>12.24</v>
      </c>
      <c r="G26">
        <v>14</v>
      </c>
      <c r="H26" s="1">
        <v>0.81200000000000006</v>
      </c>
      <c r="I26" t="s">
        <v>64</v>
      </c>
      <c r="J26" s="2">
        <v>46121</v>
      </c>
      <c r="K26" s="4">
        <v>46189</v>
      </c>
      <c r="L26" t="s">
        <v>18</v>
      </c>
      <c r="M26">
        <v>27</v>
      </c>
      <c r="N26" t="str">
        <f t="shared" si="0"/>
        <v>0 a 3 meses</v>
      </c>
      <c r="O26" s="3">
        <f t="shared" si="1"/>
        <v>2.2666666666666666</v>
      </c>
    </row>
    <row r="27" spans="1:15" x14ac:dyDescent="0.3">
      <c r="A27" t="s">
        <v>37</v>
      </c>
      <c r="B27">
        <v>25</v>
      </c>
      <c r="C27" t="s">
        <v>65</v>
      </c>
      <c r="D27" t="s">
        <v>16</v>
      </c>
      <c r="E27">
        <v>1558</v>
      </c>
      <c r="F27">
        <v>13.87</v>
      </c>
      <c r="G27">
        <v>14</v>
      </c>
      <c r="H27" s="1">
        <v>0.92010000000000003</v>
      </c>
      <c r="I27" t="s">
        <v>66</v>
      </c>
      <c r="J27" s="2">
        <v>46120</v>
      </c>
      <c r="K27" s="4">
        <v>46189</v>
      </c>
      <c r="L27" t="s">
        <v>18</v>
      </c>
      <c r="M27">
        <v>22</v>
      </c>
      <c r="N27" t="str">
        <f t="shared" si="0"/>
        <v>0 a 3 meses</v>
      </c>
      <c r="O27" s="3">
        <f t="shared" si="1"/>
        <v>2.2999999999999998</v>
      </c>
    </row>
    <row r="28" spans="1:15" x14ac:dyDescent="0.3">
      <c r="A28" t="s">
        <v>21</v>
      </c>
      <c r="B28">
        <v>10</v>
      </c>
      <c r="C28" t="s">
        <v>67</v>
      </c>
      <c r="D28" t="s">
        <v>25</v>
      </c>
      <c r="E28">
        <v>1448</v>
      </c>
      <c r="F28">
        <v>14.01</v>
      </c>
      <c r="G28">
        <v>14</v>
      </c>
      <c r="H28" s="1">
        <v>0.92949999999999999</v>
      </c>
      <c r="I28" t="s">
        <v>68</v>
      </c>
      <c r="J28" s="2">
        <v>46119</v>
      </c>
      <c r="K28" s="4">
        <v>46189</v>
      </c>
      <c r="L28" t="s">
        <v>18</v>
      </c>
      <c r="M28">
        <v>2194</v>
      </c>
      <c r="N28" t="str">
        <f t="shared" si="0"/>
        <v>0 a 3 meses</v>
      </c>
      <c r="O28" s="3">
        <f t="shared" si="1"/>
        <v>2.3333333333333335</v>
      </c>
    </row>
    <row r="29" spans="1:15" x14ac:dyDescent="0.3">
      <c r="A29" t="s">
        <v>37</v>
      </c>
      <c r="B29">
        <v>24</v>
      </c>
      <c r="C29" t="s">
        <v>69</v>
      </c>
      <c r="D29" t="s">
        <v>16</v>
      </c>
      <c r="E29">
        <v>1023</v>
      </c>
      <c r="F29">
        <v>14.01</v>
      </c>
      <c r="G29">
        <v>14</v>
      </c>
      <c r="H29" s="1">
        <v>0.92930000000000001</v>
      </c>
      <c r="I29" t="s">
        <v>68</v>
      </c>
      <c r="J29" s="2">
        <v>46119</v>
      </c>
      <c r="K29" s="4">
        <v>46189</v>
      </c>
      <c r="L29" t="s">
        <v>18</v>
      </c>
      <c r="M29">
        <v>17</v>
      </c>
      <c r="N29" t="str">
        <f t="shared" si="0"/>
        <v>0 a 3 meses</v>
      </c>
      <c r="O29" s="3">
        <f t="shared" si="1"/>
        <v>2.3333333333333335</v>
      </c>
    </row>
    <row r="30" spans="1:15" x14ac:dyDescent="0.3">
      <c r="A30" t="s">
        <v>48</v>
      </c>
      <c r="B30">
        <v>10</v>
      </c>
      <c r="C30" t="s">
        <v>70</v>
      </c>
      <c r="D30" t="s">
        <v>16</v>
      </c>
      <c r="E30">
        <v>1084</v>
      </c>
      <c r="F30">
        <v>16.21</v>
      </c>
      <c r="G30">
        <v>15</v>
      </c>
      <c r="H30" s="1">
        <v>1.075</v>
      </c>
      <c r="I30" t="s">
        <v>71</v>
      </c>
      <c r="J30" s="2">
        <v>46113</v>
      </c>
      <c r="K30" s="4">
        <v>46189</v>
      </c>
      <c r="L30" t="s">
        <v>18</v>
      </c>
      <c r="M30">
        <v>2828</v>
      </c>
      <c r="N30" t="str">
        <f t="shared" si="0"/>
        <v>0 a 3 meses</v>
      </c>
      <c r="O30" s="3">
        <f t="shared" si="1"/>
        <v>2.5333333333333332</v>
      </c>
    </row>
    <row r="31" spans="1:15" x14ac:dyDescent="0.3">
      <c r="A31" t="s">
        <v>37</v>
      </c>
      <c r="B31">
        <v>23</v>
      </c>
      <c r="C31" t="s">
        <v>72</v>
      </c>
      <c r="D31" t="s">
        <v>16</v>
      </c>
      <c r="E31">
        <v>1151</v>
      </c>
      <c r="F31">
        <v>13.52</v>
      </c>
      <c r="G31">
        <v>14</v>
      </c>
      <c r="H31" s="1">
        <v>0.89700000000000002</v>
      </c>
      <c r="I31" t="s">
        <v>73</v>
      </c>
      <c r="J31" s="2">
        <v>46098</v>
      </c>
      <c r="K31" s="4">
        <v>46189</v>
      </c>
      <c r="L31" t="s">
        <v>18</v>
      </c>
      <c r="M31">
        <v>12</v>
      </c>
      <c r="N31" t="str">
        <f t="shared" si="0"/>
        <v>3 meses a 6 meses</v>
      </c>
      <c r="O31" s="3">
        <f t="shared" si="1"/>
        <v>3.0333333333333332</v>
      </c>
    </row>
    <row r="32" spans="1:15" x14ac:dyDescent="0.3">
      <c r="A32" t="s">
        <v>37</v>
      </c>
      <c r="B32">
        <v>20</v>
      </c>
      <c r="C32" t="s">
        <v>74</v>
      </c>
      <c r="D32" t="s">
        <v>16</v>
      </c>
      <c r="E32">
        <v>1342</v>
      </c>
      <c r="F32">
        <v>14.11</v>
      </c>
      <c r="G32">
        <v>14</v>
      </c>
      <c r="H32" s="1">
        <v>0.93559999999999999</v>
      </c>
      <c r="I32" t="s">
        <v>75</v>
      </c>
      <c r="J32" s="2">
        <v>46094</v>
      </c>
      <c r="K32" s="4">
        <v>46189</v>
      </c>
      <c r="L32" t="s">
        <v>18</v>
      </c>
      <c r="M32">
        <v>14</v>
      </c>
      <c r="N32" t="str">
        <f t="shared" si="0"/>
        <v>3 meses a 6 meses</v>
      </c>
      <c r="O32" s="3">
        <f t="shared" si="1"/>
        <v>3.1666666666666665</v>
      </c>
    </row>
    <row r="33" spans="1:15" x14ac:dyDescent="0.3">
      <c r="A33" t="s">
        <v>37</v>
      </c>
      <c r="B33">
        <v>18</v>
      </c>
      <c r="C33" t="s">
        <v>76</v>
      </c>
      <c r="D33" t="s">
        <v>39</v>
      </c>
      <c r="E33">
        <v>1187</v>
      </c>
      <c r="F33">
        <v>12.2</v>
      </c>
      <c r="G33">
        <v>14</v>
      </c>
      <c r="H33" s="1">
        <v>0.80920000000000003</v>
      </c>
      <c r="I33" t="s">
        <v>75</v>
      </c>
      <c r="J33" s="2">
        <v>46094</v>
      </c>
      <c r="K33" s="4">
        <v>46189</v>
      </c>
      <c r="L33" t="s">
        <v>18</v>
      </c>
      <c r="M33">
        <v>23</v>
      </c>
      <c r="N33" t="str">
        <f t="shared" si="0"/>
        <v>3 meses a 6 meses</v>
      </c>
      <c r="O33" s="3">
        <f t="shared" si="1"/>
        <v>3.1666666666666665</v>
      </c>
    </row>
    <row r="34" spans="1:15" x14ac:dyDescent="0.3">
      <c r="A34" t="s">
        <v>37</v>
      </c>
      <c r="B34">
        <v>22</v>
      </c>
      <c r="C34" t="s">
        <v>77</v>
      </c>
      <c r="D34" t="s">
        <v>16</v>
      </c>
      <c r="E34">
        <v>1331</v>
      </c>
      <c r="F34">
        <v>14.03</v>
      </c>
      <c r="G34">
        <v>14</v>
      </c>
      <c r="H34" s="1">
        <v>0.93069999999999997</v>
      </c>
      <c r="I34" t="s">
        <v>75</v>
      </c>
      <c r="J34" s="2">
        <v>46094</v>
      </c>
      <c r="K34" s="4">
        <v>46189</v>
      </c>
      <c r="L34" t="s">
        <v>18</v>
      </c>
      <c r="M34">
        <v>22</v>
      </c>
      <c r="N34" t="str">
        <f t="shared" si="0"/>
        <v>3 meses a 6 meses</v>
      </c>
      <c r="O34" s="3">
        <f t="shared" si="1"/>
        <v>3.1666666666666665</v>
      </c>
    </row>
    <row r="35" spans="1:15" x14ac:dyDescent="0.3">
      <c r="A35" t="s">
        <v>37</v>
      </c>
      <c r="B35">
        <v>17</v>
      </c>
      <c r="C35" t="s">
        <v>78</v>
      </c>
      <c r="D35" t="s">
        <v>39</v>
      </c>
      <c r="E35">
        <v>761</v>
      </c>
      <c r="F35">
        <v>15.53</v>
      </c>
      <c r="G35">
        <v>14</v>
      </c>
      <c r="H35" s="1">
        <v>1.0301</v>
      </c>
      <c r="I35" t="s">
        <v>75</v>
      </c>
      <c r="J35" s="2">
        <v>46094</v>
      </c>
      <c r="K35" s="4">
        <v>46189</v>
      </c>
      <c r="L35" t="s">
        <v>18</v>
      </c>
      <c r="M35">
        <v>13</v>
      </c>
      <c r="N35" t="str">
        <f t="shared" si="0"/>
        <v>3 meses a 6 meses</v>
      </c>
      <c r="O35" s="3">
        <f t="shared" si="1"/>
        <v>3.1666666666666665</v>
      </c>
    </row>
    <row r="36" spans="1:15" x14ac:dyDescent="0.3">
      <c r="A36" t="s">
        <v>37</v>
      </c>
      <c r="B36">
        <v>19</v>
      </c>
      <c r="C36" t="s">
        <v>79</v>
      </c>
      <c r="D36" t="s">
        <v>39</v>
      </c>
      <c r="E36">
        <v>898</v>
      </c>
      <c r="F36">
        <v>13.2</v>
      </c>
      <c r="G36">
        <v>14</v>
      </c>
      <c r="H36" s="1">
        <v>0.87529999999999997</v>
      </c>
      <c r="I36" t="s">
        <v>75</v>
      </c>
      <c r="J36" s="2">
        <v>46094</v>
      </c>
      <c r="K36" s="4">
        <v>46189</v>
      </c>
      <c r="L36" t="s">
        <v>18</v>
      </c>
      <c r="M36">
        <v>10</v>
      </c>
      <c r="N36" t="str">
        <f t="shared" si="0"/>
        <v>3 meses a 6 meses</v>
      </c>
      <c r="O36" s="3">
        <f t="shared" si="1"/>
        <v>3.1666666666666665</v>
      </c>
    </row>
    <row r="37" spans="1:15" x14ac:dyDescent="0.3">
      <c r="A37" t="s">
        <v>37</v>
      </c>
      <c r="B37">
        <v>16</v>
      </c>
      <c r="C37" t="s">
        <v>80</v>
      </c>
      <c r="D37" t="s">
        <v>39</v>
      </c>
      <c r="E37">
        <v>946</v>
      </c>
      <c r="F37">
        <v>12.88</v>
      </c>
      <c r="G37">
        <v>14</v>
      </c>
      <c r="H37" s="1">
        <v>0.85440000000000005</v>
      </c>
      <c r="I37" t="s">
        <v>75</v>
      </c>
      <c r="J37" s="2">
        <v>46094</v>
      </c>
      <c r="K37" s="4">
        <v>46189</v>
      </c>
      <c r="L37" t="s">
        <v>18</v>
      </c>
      <c r="M37">
        <v>11</v>
      </c>
      <c r="N37" t="str">
        <f t="shared" si="0"/>
        <v>3 meses a 6 meses</v>
      </c>
      <c r="O37" s="3">
        <f t="shared" si="1"/>
        <v>3.1666666666666665</v>
      </c>
    </row>
    <row r="38" spans="1:15" x14ac:dyDescent="0.3">
      <c r="A38" t="s">
        <v>29</v>
      </c>
      <c r="B38">
        <v>10</v>
      </c>
      <c r="C38" t="s">
        <v>81</v>
      </c>
      <c r="D38" t="s">
        <v>25</v>
      </c>
      <c r="E38">
        <v>1396</v>
      </c>
      <c r="F38">
        <v>18.36</v>
      </c>
      <c r="G38">
        <v>28</v>
      </c>
      <c r="H38" s="1">
        <v>1.2176</v>
      </c>
      <c r="I38" t="s">
        <v>75</v>
      </c>
      <c r="J38" s="2">
        <v>46094</v>
      </c>
      <c r="K38" s="4">
        <v>46189</v>
      </c>
      <c r="L38" t="s">
        <v>18</v>
      </c>
      <c r="M38">
        <v>3537</v>
      </c>
      <c r="N38" t="str">
        <f t="shared" si="0"/>
        <v>3 meses a 6 meses</v>
      </c>
      <c r="O38" s="3">
        <f t="shared" si="1"/>
        <v>3.1666666666666665</v>
      </c>
    </row>
    <row r="39" spans="1:15" x14ac:dyDescent="0.3">
      <c r="A39" t="s">
        <v>21</v>
      </c>
      <c r="B39">
        <v>9</v>
      </c>
      <c r="C39" t="s">
        <v>82</v>
      </c>
      <c r="D39" t="s">
        <v>16</v>
      </c>
      <c r="E39">
        <v>1743</v>
      </c>
      <c r="F39">
        <v>15.4</v>
      </c>
      <c r="G39">
        <v>14</v>
      </c>
      <c r="H39" s="1">
        <v>1.0214000000000001</v>
      </c>
      <c r="I39" t="s">
        <v>83</v>
      </c>
      <c r="J39" s="2">
        <v>46093</v>
      </c>
      <c r="K39" s="4">
        <v>46189</v>
      </c>
      <c r="L39" t="s">
        <v>18</v>
      </c>
      <c r="M39">
        <v>1440</v>
      </c>
      <c r="N39" t="str">
        <f t="shared" si="0"/>
        <v>3 meses a 6 meses</v>
      </c>
      <c r="O39" s="3">
        <f t="shared" si="1"/>
        <v>3.2</v>
      </c>
    </row>
    <row r="40" spans="1:15" x14ac:dyDescent="0.3">
      <c r="A40" t="s">
        <v>21</v>
      </c>
      <c r="B40">
        <v>8</v>
      </c>
      <c r="C40" t="s">
        <v>84</v>
      </c>
      <c r="D40" t="s">
        <v>16</v>
      </c>
      <c r="E40">
        <v>1567</v>
      </c>
      <c r="F40">
        <v>14.72</v>
      </c>
      <c r="G40">
        <v>14</v>
      </c>
      <c r="H40" s="1">
        <v>0.97660000000000002</v>
      </c>
      <c r="I40" t="s">
        <v>83</v>
      </c>
      <c r="J40" s="2">
        <v>46093</v>
      </c>
      <c r="K40" s="4">
        <v>46189</v>
      </c>
      <c r="L40" t="s">
        <v>18</v>
      </c>
      <c r="M40">
        <v>1781</v>
      </c>
      <c r="N40" t="str">
        <f t="shared" si="0"/>
        <v>3 meses a 6 meses</v>
      </c>
      <c r="O40" s="3">
        <f t="shared" si="1"/>
        <v>3.2</v>
      </c>
    </row>
    <row r="41" spans="1:15" x14ac:dyDescent="0.3">
      <c r="A41" t="s">
        <v>48</v>
      </c>
      <c r="B41">
        <v>8</v>
      </c>
      <c r="C41" t="s">
        <v>85</v>
      </c>
      <c r="D41" t="s">
        <v>39</v>
      </c>
      <c r="E41">
        <v>759</v>
      </c>
      <c r="F41">
        <v>8.65</v>
      </c>
      <c r="G41">
        <v>15</v>
      </c>
      <c r="H41" s="1">
        <v>0.57340000000000002</v>
      </c>
      <c r="I41" t="s">
        <v>86</v>
      </c>
      <c r="J41" s="2">
        <v>46087</v>
      </c>
      <c r="K41" s="4">
        <v>46189</v>
      </c>
      <c r="L41" t="s">
        <v>18</v>
      </c>
      <c r="M41">
        <v>2</v>
      </c>
      <c r="N41" t="str">
        <f t="shared" si="0"/>
        <v>3 meses a 6 meses</v>
      </c>
      <c r="O41" s="3">
        <f t="shared" si="1"/>
        <v>3.4</v>
      </c>
    </row>
    <row r="42" spans="1:15" x14ac:dyDescent="0.3">
      <c r="A42" t="s">
        <v>48</v>
      </c>
      <c r="B42">
        <v>9</v>
      </c>
      <c r="C42" t="s">
        <v>87</v>
      </c>
      <c r="D42" t="s">
        <v>39</v>
      </c>
      <c r="E42">
        <v>719</v>
      </c>
      <c r="F42">
        <v>13.4</v>
      </c>
      <c r="G42">
        <v>15</v>
      </c>
      <c r="H42" s="1">
        <v>0.88849999999999996</v>
      </c>
      <c r="I42" t="s">
        <v>86</v>
      </c>
      <c r="J42" s="2">
        <v>46087</v>
      </c>
      <c r="K42" s="4">
        <v>46189</v>
      </c>
      <c r="L42" t="s">
        <v>18</v>
      </c>
      <c r="M42">
        <v>870</v>
      </c>
      <c r="N42" t="str">
        <f t="shared" si="0"/>
        <v>3 meses a 6 meses</v>
      </c>
      <c r="O42" s="3">
        <f t="shared" si="1"/>
        <v>3.4</v>
      </c>
    </row>
    <row r="43" spans="1:15" x14ac:dyDescent="0.3">
      <c r="A43" t="s">
        <v>29</v>
      </c>
      <c r="B43">
        <v>8</v>
      </c>
      <c r="C43" t="s">
        <v>88</v>
      </c>
      <c r="D43" t="s">
        <v>16</v>
      </c>
      <c r="E43">
        <v>1268</v>
      </c>
      <c r="F43">
        <v>18.25</v>
      </c>
      <c r="G43">
        <v>28</v>
      </c>
      <c r="H43" s="1">
        <v>1.2101999999999999</v>
      </c>
      <c r="I43" t="s">
        <v>86</v>
      </c>
      <c r="J43" s="2">
        <v>46087</v>
      </c>
      <c r="K43" s="4">
        <v>46189</v>
      </c>
      <c r="L43" t="s">
        <v>18</v>
      </c>
      <c r="M43">
        <v>4011</v>
      </c>
      <c r="N43" t="str">
        <f t="shared" si="0"/>
        <v>3 meses a 6 meses</v>
      </c>
      <c r="O43" s="3">
        <f t="shared" si="1"/>
        <v>3.4</v>
      </c>
    </row>
    <row r="44" spans="1:15" x14ac:dyDescent="0.3">
      <c r="A44" t="s">
        <v>29</v>
      </c>
      <c r="B44">
        <v>7</v>
      </c>
      <c r="C44" t="s">
        <v>89</v>
      </c>
      <c r="D44" t="s">
        <v>43</v>
      </c>
      <c r="E44">
        <v>1293</v>
      </c>
      <c r="F44">
        <v>16.850000000000001</v>
      </c>
      <c r="G44">
        <v>28</v>
      </c>
      <c r="H44" s="1">
        <v>1.1173</v>
      </c>
      <c r="I44" t="s">
        <v>86</v>
      </c>
      <c r="J44" s="2">
        <v>46087</v>
      </c>
      <c r="K44" s="4">
        <v>46189</v>
      </c>
      <c r="L44" t="s">
        <v>18</v>
      </c>
      <c r="M44">
        <v>3309</v>
      </c>
      <c r="N44" t="str">
        <f t="shared" si="0"/>
        <v>3 meses a 6 meses</v>
      </c>
      <c r="O44" s="3">
        <f t="shared" si="1"/>
        <v>3.4</v>
      </c>
    </row>
    <row r="45" spans="1:15" x14ac:dyDescent="0.3">
      <c r="A45" t="s">
        <v>29</v>
      </c>
      <c r="B45">
        <v>9</v>
      </c>
      <c r="C45" t="s">
        <v>90</v>
      </c>
      <c r="D45" t="s">
        <v>16</v>
      </c>
      <c r="E45">
        <v>1452</v>
      </c>
      <c r="F45">
        <v>14.97</v>
      </c>
      <c r="G45">
        <v>28</v>
      </c>
      <c r="H45" s="1">
        <v>0.99309999999999998</v>
      </c>
      <c r="I45" t="s">
        <v>86</v>
      </c>
      <c r="J45" s="2">
        <v>46087</v>
      </c>
      <c r="K45" s="4">
        <v>46189</v>
      </c>
      <c r="L45" t="s">
        <v>18</v>
      </c>
      <c r="M45">
        <v>1502</v>
      </c>
      <c r="N45" t="str">
        <f t="shared" si="0"/>
        <v>3 meses a 6 meses</v>
      </c>
      <c r="O45" s="3">
        <f t="shared" si="1"/>
        <v>3.4</v>
      </c>
    </row>
    <row r="46" spans="1:15" x14ac:dyDescent="0.3">
      <c r="A46" t="s">
        <v>37</v>
      </c>
      <c r="B46">
        <v>13</v>
      </c>
      <c r="C46" t="s">
        <v>91</v>
      </c>
      <c r="D46" t="s">
        <v>16</v>
      </c>
      <c r="E46">
        <v>778</v>
      </c>
      <c r="F46">
        <v>13.56</v>
      </c>
      <c r="G46">
        <v>14</v>
      </c>
      <c r="H46" s="1">
        <v>0.89910000000000001</v>
      </c>
      <c r="I46" t="s">
        <v>92</v>
      </c>
      <c r="J46" s="2">
        <v>46084</v>
      </c>
      <c r="K46" s="4">
        <v>46189</v>
      </c>
      <c r="L46" t="s">
        <v>18</v>
      </c>
      <c r="M46">
        <v>10</v>
      </c>
      <c r="N46" t="str">
        <f t="shared" si="0"/>
        <v>3 meses a 6 meses</v>
      </c>
      <c r="O46" s="3">
        <f t="shared" si="1"/>
        <v>3.5</v>
      </c>
    </row>
    <row r="47" spans="1:15" x14ac:dyDescent="0.3">
      <c r="A47" t="s">
        <v>37</v>
      </c>
      <c r="B47">
        <v>14</v>
      </c>
      <c r="C47" t="s">
        <v>93</v>
      </c>
      <c r="D47" t="s">
        <v>16</v>
      </c>
      <c r="E47">
        <v>1455</v>
      </c>
      <c r="F47">
        <v>15.98</v>
      </c>
      <c r="G47">
        <v>14</v>
      </c>
      <c r="H47" s="1">
        <v>1.0601</v>
      </c>
      <c r="I47" t="s">
        <v>92</v>
      </c>
      <c r="J47" s="2">
        <v>46084</v>
      </c>
      <c r="K47" s="4">
        <v>46189</v>
      </c>
      <c r="L47" t="s">
        <v>18</v>
      </c>
      <c r="M47">
        <v>12</v>
      </c>
      <c r="N47" t="str">
        <f t="shared" si="0"/>
        <v>3 meses a 6 meses</v>
      </c>
      <c r="O47" s="3">
        <f t="shared" si="1"/>
        <v>3.5</v>
      </c>
    </row>
    <row r="48" spans="1:15" x14ac:dyDescent="0.3">
      <c r="A48" t="s">
        <v>48</v>
      </c>
      <c r="B48">
        <v>7</v>
      </c>
      <c r="C48" t="s">
        <v>94</v>
      </c>
      <c r="D48" t="s">
        <v>16</v>
      </c>
      <c r="E48">
        <v>1336</v>
      </c>
      <c r="F48">
        <v>12</v>
      </c>
      <c r="G48">
        <v>15</v>
      </c>
      <c r="H48" s="1">
        <v>0.79600000000000004</v>
      </c>
      <c r="I48" t="s">
        <v>95</v>
      </c>
      <c r="J48" s="2">
        <v>46083</v>
      </c>
      <c r="K48" s="4">
        <v>46189</v>
      </c>
      <c r="L48" t="s">
        <v>18</v>
      </c>
      <c r="M48">
        <v>778</v>
      </c>
      <c r="N48" t="str">
        <f t="shared" si="0"/>
        <v>3 meses a 6 meses</v>
      </c>
      <c r="O48" s="3">
        <f t="shared" si="1"/>
        <v>3.5333333333333332</v>
      </c>
    </row>
    <row r="49" spans="1:15" x14ac:dyDescent="0.3">
      <c r="A49" t="s">
        <v>48</v>
      </c>
      <c r="B49">
        <v>6</v>
      </c>
      <c r="C49" t="s">
        <v>96</v>
      </c>
      <c r="D49" t="s">
        <v>25</v>
      </c>
      <c r="E49">
        <v>1307</v>
      </c>
      <c r="F49">
        <v>11.55</v>
      </c>
      <c r="G49">
        <v>15</v>
      </c>
      <c r="H49" s="1">
        <v>0.7661</v>
      </c>
      <c r="I49" t="s">
        <v>95</v>
      </c>
      <c r="J49" s="2">
        <v>46083</v>
      </c>
      <c r="K49" s="4">
        <v>46189</v>
      </c>
      <c r="L49" t="s">
        <v>18</v>
      </c>
      <c r="M49">
        <v>323</v>
      </c>
      <c r="N49" t="str">
        <f t="shared" si="0"/>
        <v>3 meses a 6 meses</v>
      </c>
      <c r="O49" s="3">
        <f t="shared" si="1"/>
        <v>3.5333333333333332</v>
      </c>
    </row>
    <row r="50" spans="1:15" x14ac:dyDescent="0.3">
      <c r="A50" t="s">
        <v>14</v>
      </c>
      <c r="B50">
        <v>909</v>
      </c>
      <c r="C50" t="s">
        <v>97</v>
      </c>
      <c r="D50" t="s">
        <v>25</v>
      </c>
      <c r="E50">
        <v>414</v>
      </c>
      <c r="F50">
        <v>11.92</v>
      </c>
      <c r="G50">
        <v>14</v>
      </c>
      <c r="H50" s="1">
        <v>0.79039999999999999</v>
      </c>
      <c r="I50" t="s">
        <v>98</v>
      </c>
      <c r="J50" s="2">
        <v>46079</v>
      </c>
      <c r="K50" s="4">
        <v>46189</v>
      </c>
      <c r="L50" t="s">
        <v>99</v>
      </c>
      <c r="N50" t="str">
        <f t="shared" si="0"/>
        <v>3 meses a 6 meses</v>
      </c>
      <c r="O50" s="3">
        <f t="shared" si="1"/>
        <v>3.6666666666666665</v>
      </c>
    </row>
    <row r="51" spans="1:15" x14ac:dyDescent="0.3">
      <c r="A51" t="s">
        <v>100</v>
      </c>
      <c r="B51">
        <v>4</v>
      </c>
      <c r="C51" t="s">
        <v>101</v>
      </c>
      <c r="D51" t="s">
        <v>16</v>
      </c>
      <c r="E51">
        <v>1112</v>
      </c>
      <c r="F51">
        <v>15.92</v>
      </c>
      <c r="G51">
        <v>14</v>
      </c>
      <c r="H51" s="1">
        <v>1.0561</v>
      </c>
      <c r="I51" t="s">
        <v>102</v>
      </c>
      <c r="J51" s="2">
        <v>46066</v>
      </c>
      <c r="K51" s="4">
        <v>46189</v>
      </c>
      <c r="L51" t="s">
        <v>18</v>
      </c>
      <c r="M51">
        <v>1683</v>
      </c>
      <c r="N51" t="str">
        <f t="shared" si="0"/>
        <v>3 meses a 6 meses</v>
      </c>
      <c r="O51" s="3">
        <f t="shared" si="1"/>
        <v>4.0999999999999996</v>
      </c>
    </row>
    <row r="52" spans="1:15" x14ac:dyDescent="0.3">
      <c r="A52" t="s">
        <v>37</v>
      </c>
      <c r="B52">
        <v>1048</v>
      </c>
      <c r="C52" t="s">
        <v>103</v>
      </c>
      <c r="D52" t="s">
        <v>25</v>
      </c>
      <c r="E52">
        <v>1233</v>
      </c>
      <c r="F52">
        <v>15.69</v>
      </c>
      <c r="G52">
        <v>14</v>
      </c>
      <c r="H52" s="1">
        <v>1.0407</v>
      </c>
      <c r="I52" t="s">
        <v>104</v>
      </c>
      <c r="J52" s="2">
        <v>46059</v>
      </c>
      <c r="K52" s="4">
        <v>46189</v>
      </c>
      <c r="L52" t="s">
        <v>18</v>
      </c>
      <c r="M52">
        <v>20</v>
      </c>
      <c r="N52" t="str">
        <f t="shared" si="0"/>
        <v>3 meses a 6 meses</v>
      </c>
      <c r="O52" s="3">
        <f t="shared" si="1"/>
        <v>4.333333333333333</v>
      </c>
    </row>
    <row r="53" spans="1:15" x14ac:dyDescent="0.3">
      <c r="A53" t="s">
        <v>105</v>
      </c>
      <c r="B53">
        <v>1000</v>
      </c>
      <c r="C53" t="s">
        <v>106</v>
      </c>
      <c r="D53" t="s">
        <v>43</v>
      </c>
      <c r="E53">
        <v>914</v>
      </c>
      <c r="F53">
        <v>12.72</v>
      </c>
      <c r="G53">
        <v>14</v>
      </c>
      <c r="H53" s="1">
        <v>0.84350000000000003</v>
      </c>
      <c r="I53" t="s">
        <v>107</v>
      </c>
      <c r="J53" s="2">
        <v>46054</v>
      </c>
      <c r="K53" s="2">
        <v>46053</v>
      </c>
      <c r="L53" t="s">
        <v>18</v>
      </c>
      <c r="M53">
        <v>1211</v>
      </c>
      <c r="N53" t="str">
        <f t="shared" si="0"/>
        <v>0 a 3 meses</v>
      </c>
      <c r="O53" s="3">
        <v>0</v>
      </c>
    </row>
    <row r="54" spans="1:15" x14ac:dyDescent="0.3">
      <c r="A54" t="s">
        <v>48</v>
      </c>
      <c r="B54">
        <v>285</v>
      </c>
      <c r="C54" t="s">
        <v>108</v>
      </c>
      <c r="D54" t="s">
        <v>16</v>
      </c>
      <c r="E54">
        <v>744</v>
      </c>
      <c r="F54">
        <v>10.7</v>
      </c>
      <c r="G54">
        <v>15</v>
      </c>
      <c r="H54" s="1">
        <v>0.70960000000000001</v>
      </c>
      <c r="I54" t="s">
        <v>109</v>
      </c>
      <c r="J54" s="2">
        <v>46008</v>
      </c>
      <c r="K54" s="4">
        <v>46189</v>
      </c>
      <c r="L54" t="s">
        <v>18</v>
      </c>
      <c r="M54">
        <v>409</v>
      </c>
      <c r="N54" t="str">
        <f t="shared" si="0"/>
        <v>6 meses a 12 meses</v>
      </c>
      <c r="O54" s="3">
        <f t="shared" si="1"/>
        <v>6.0333333333333332</v>
      </c>
    </row>
    <row r="55" spans="1:15" x14ac:dyDescent="0.3">
      <c r="A55" t="s">
        <v>110</v>
      </c>
      <c r="B55">
        <v>342</v>
      </c>
      <c r="C55" t="s">
        <v>111</v>
      </c>
      <c r="D55" t="s">
        <v>16</v>
      </c>
      <c r="E55">
        <v>1129</v>
      </c>
      <c r="F55">
        <v>12.19</v>
      </c>
      <c r="G55">
        <v>14</v>
      </c>
      <c r="H55" s="1">
        <v>0.80869999999999997</v>
      </c>
      <c r="I55" t="s">
        <v>112</v>
      </c>
      <c r="J55" s="2">
        <v>46002</v>
      </c>
      <c r="K55" s="4">
        <v>46189</v>
      </c>
      <c r="L55" t="s">
        <v>18</v>
      </c>
      <c r="N55" t="str">
        <f t="shared" si="0"/>
        <v>6 meses a 12 meses</v>
      </c>
      <c r="O55" s="3">
        <f t="shared" si="1"/>
        <v>6.2333333333333334</v>
      </c>
    </row>
    <row r="56" spans="1:15" x14ac:dyDescent="0.3">
      <c r="A56" t="s">
        <v>110</v>
      </c>
      <c r="B56">
        <v>340</v>
      </c>
      <c r="C56" t="s">
        <v>113</v>
      </c>
      <c r="D56" t="s">
        <v>16</v>
      </c>
      <c r="E56">
        <v>935</v>
      </c>
      <c r="F56">
        <v>9.7899999999999991</v>
      </c>
      <c r="G56">
        <v>14</v>
      </c>
      <c r="H56" s="1">
        <v>0.6492</v>
      </c>
      <c r="I56" t="s">
        <v>112</v>
      </c>
      <c r="J56" s="2">
        <v>46002</v>
      </c>
      <c r="K56" s="4">
        <v>46189</v>
      </c>
      <c r="L56" t="s">
        <v>18</v>
      </c>
      <c r="N56" t="str">
        <f t="shared" si="0"/>
        <v>6 meses a 12 meses</v>
      </c>
      <c r="O56" s="3">
        <f t="shared" si="1"/>
        <v>6.2333333333333334</v>
      </c>
    </row>
    <row r="57" spans="1:15" x14ac:dyDescent="0.3">
      <c r="A57" t="s">
        <v>110</v>
      </c>
      <c r="B57">
        <v>339</v>
      </c>
      <c r="C57" t="s">
        <v>114</v>
      </c>
      <c r="D57" t="s">
        <v>16</v>
      </c>
      <c r="E57">
        <v>879</v>
      </c>
      <c r="F57">
        <v>10.53</v>
      </c>
      <c r="G57">
        <v>14</v>
      </c>
      <c r="H57" s="1">
        <v>0.69830000000000003</v>
      </c>
      <c r="I57" t="s">
        <v>112</v>
      </c>
      <c r="J57" s="2">
        <v>46002</v>
      </c>
      <c r="K57" s="4">
        <v>46189</v>
      </c>
      <c r="L57" t="s">
        <v>18</v>
      </c>
      <c r="M57">
        <v>1</v>
      </c>
      <c r="N57" t="str">
        <f t="shared" si="0"/>
        <v>6 meses a 12 meses</v>
      </c>
      <c r="O57" s="3">
        <f t="shared" si="1"/>
        <v>6.2333333333333334</v>
      </c>
    </row>
    <row r="58" spans="1:15" x14ac:dyDescent="0.3">
      <c r="A58" t="s">
        <v>110</v>
      </c>
      <c r="B58">
        <v>341</v>
      </c>
      <c r="C58" t="s">
        <v>115</v>
      </c>
      <c r="D58" t="s">
        <v>16</v>
      </c>
      <c r="E58">
        <v>1504</v>
      </c>
      <c r="F58">
        <v>16.420000000000002</v>
      </c>
      <c r="G58">
        <v>14</v>
      </c>
      <c r="H58" s="1">
        <v>1.0892999999999999</v>
      </c>
      <c r="I58" t="s">
        <v>112</v>
      </c>
      <c r="J58" s="2">
        <v>46002</v>
      </c>
      <c r="K58" s="4">
        <v>46189</v>
      </c>
      <c r="L58" t="s">
        <v>18</v>
      </c>
      <c r="M58">
        <v>1394</v>
      </c>
      <c r="N58" t="str">
        <f t="shared" si="0"/>
        <v>6 meses a 12 meses</v>
      </c>
      <c r="O58" s="3">
        <f t="shared" si="1"/>
        <v>6.2333333333333334</v>
      </c>
    </row>
    <row r="59" spans="1:15" x14ac:dyDescent="0.3">
      <c r="A59" t="s">
        <v>21</v>
      </c>
      <c r="B59">
        <v>217</v>
      </c>
      <c r="C59" t="s">
        <v>116</v>
      </c>
      <c r="D59" t="s">
        <v>16</v>
      </c>
      <c r="E59">
        <v>1552</v>
      </c>
      <c r="F59">
        <v>18.09</v>
      </c>
      <c r="G59">
        <v>14</v>
      </c>
      <c r="H59" s="1">
        <v>1.1998</v>
      </c>
      <c r="I59" t="s">
        <v>112</v>
      </c>
      <c r="J59" s="2">
        <v>46002</v>
      </c>
      <c r="K59" s="4">
        <v>46189</v>
      </c>
      <c r="L59" t="s">
        <v>18</v>
      </c>
      <c r="M59">
        <v>1105</v>
      </c>
      <c r="N59" t="str">
        <f t="shared" si="0"/>
        <v>6 meses a 12 meses</v>
      </c>
      <c r="O59" s="3">
        <f t="shared" si="1"/>
        <v>6.2333333333333334</v>
      </c>
    </row>
    <row r="60" spans="1:15" x14ac:dyDescent="0.3">
      <c r="A60" t="s">
        <v>21</v>
      </c>
      <c r="B60">
        <v>215</v>
      </c>
      <c r="C60" t="s">
        <v>117</v>
      </c>
      <c r="D60" t="s">
        <v>25</v>
      </c>
      <c r="E60">
        <v>1390</v>
      </c>
      <c r="F60">
        <v>10.050000000000001</v>
      </c>
      <c r="G60">
        <v>14</v>
      </c>
      <c r="H60" s="1">
        <v>0.6663</v>
      </c>
      <c r="I60" t="s">
        <v>112</v>
      </c>
      <c r="J60" s="2">
        <v>46002</v>
      </c>
      <c r="K60" s="4">
        <v>46189</v>
      </c>
      <c r="L60" t="s">
        <v>18</v>
      </c>
      <c r="M60">
        <v>12</v>
      </c>
      <c r="N60" t="str">
        <f t="shared" si="0"/>
        <v>6 meses a 12 meses</v>
      </c>
      <c r="O60" s="3">
        <f t="shared" si="1"/>
        <v>6.2333333333333334</v>
      </c>
    </row>
    <row r="61" spans="1:15" x14ac:dyDescent="0.3">
      <c r="A61" t="s">
        <v>21</v>
      </c>
      <c r="B61">
        <v>216</v>
      </c>
      <c r="C61" t="s">
        <v>118</v>
      </c>
      <c r="D61" t="s">
        <v>16</v>
      </c>
      <c r="E61">
        <v>702</v>
      </c>
      <c r="F61">
        <v>12.44</v>
      </c>
      <c r="G61">
        <v>14</v>
      </c>
      <c r="H61" s="1">
        <v>0.82479999999999998</v>
      </c>
      <c r="I61" t="s">
        <v>112</v>
      </c>
      <c r="J61" s="2">
        <v>46002</v>
      </c>
      <c r="K61" s="4">
        <v>46189</v>
      </c>
      <c r="L61" t="s">
        <v>18</v>
      </c>
      <c r="N61" t="str">
        <f t="shared" si="0"/>
        <v>6 meses a 12 meses</v>
      </c>
      <c r="O61" s="3">
        <f t="shared" si="1"/>
        <v>6.2333333333333334</v>
      </c>
    </row>
    <row r="62" spans="1:15" x14ac:dyDescent="0.3">
      <c r="A62" t="s">
        <v>110</v>
      </c>
      <c r="B62">
        <v>337</v>
      </c>
      <c r="C62" t="s">
        <v>119</v>
      </c>
      <c r="D62" t="s">
        <v>16</v>
      </c>
      <c r="E62">
        <v>1437</v>
      </c>
      <c r="F62">
        <v>11.9</v>
      </c>
      <c r="G62">
        <v>14</v>
      </c>
      <c r="H62" s="1">
        <v>0.7893</v>
      </c>
      <c r="I62" t="s">
        <v>120</v>
      </c>
      <c r="J62" s="2">
        <v>45997</v>
      </c>
      <c r="K62" s="4">
        <v>46189</v>
      </c>
      <c r="L62" t="s">
        <v>18</v>
      </c>
      <c r="M62">
        <v>621</v>
      </c>
      <c r="N62" t="str">
        <f t="shared" si="0"/>
        <v>6 meses a 12 meses</v>
      </c>
      <c r="O62" s="3">
        <f t="shared" si="1"/>
        <v>6.4</v>
      </c>
    </row>
    <row r="63" spans="1:15" x14ac:dyDescent="0.3">
      <c r="A63" t="s">
        <v>110</v>
      </c>
      <c r="B63">
        <v>335</v>
      </c>
      <c r="C63" t="s">
        <v>121</v>
      </c>
      <c r="D63" t="s">
        <v>25</v>
      </c>
      <c r="E63">
        <v>1055</v>
      </c>
      <c r="F63">
        <v>9.92</v>
      </c>
      <c r="G63">
        <v>14</v>
      </c>
      <c r="H63" s="1">
        <v>0.6583</v>
      </c>
      <c r="I63" t="s">
        <v>120</v>
      </c>
      <c r="J63" s="2">
        <v>45997</v>
      </c>
      <c r="K63" s="4">
        <v>46189</v>
      </c>
      <c r="L63" t="s">
        <v>18</v>
      </c>
      <c r="M63">
        <v>607</v>
      </c>
      <c r="N63" t="str">
        <f t="shared" si="0"/>
        <v>6 meses a 12 meses</v>
      </c>
      <c r="O63" s="3">
        <f t="shared" si="1"/>
        <v>6.4</v>
      </c>
    </row>
    <row r="64" spans="1:15" x14ac:dyDescent="0.3">
      <c r="A64" t="s">
        <v>110</v>
      </c>
      <c r="B64">
        <v>336</v>
      </c>
      <c r="C64" t="s">
        <v>122</v>
      </c>
      <c r="D64" t="s">
        <v>16</v>
      </c>
      <c r="E64">
        <v>1308</v>
      </c>
      <c r="F64">
        <v>14.39</v>
      </c>
      <c r="G64">
        <v>14</v>
      </c>
      <c r="H64" s="1">
        <v>0.95430000000000004</v>
      </c>
      <c r="I64" t="s">
        <v>120</v>
      </c>
      <c r="J64" s="2">
        <v>45997</v>
      </c>
      <c r="K64" s="4">
        <v>46189</v>
      </c>
      <c r="L64" t="s">
        <v>18</v>
      </c>
      <c r="M64">
        <v>321</v>
      </c>
      <c r="N64" t="str">
        <f t="shared" si="0"/>
        <v>6 meses a 12 meses</v>
      </c>
      <c r="O64" s="3">
        <f t="shared" si="1"/>
        <v>6.4</v>
      </c>
    </row>
    <row r="65" spans="1:15" x14ac:dyDescent="0.3">
      <c r="A65" t="s">
        <v>110</v>
      </c>
      <c r="B65">
        <v>338</v>
      </c>
      <c r="C65" t="s">
        <v>123</v>
      </c>
      <c r="D65" t="s">
        <v>16</v>
      </c>
      <c r="E65">
        <v>1517</v>
      </c>
      <c r="F65">
        <v>10.95</v>
      </c>
      <c r="G65">
        <v>14</v>
      </c>
      <c r="H65" s="1">
        <v>0.72640000000000005</v>
      </c>
      <c r="I65" t="s">
        <v>120</v>
      </c>
      <c r="J65" s="2">
        <v>45997</v>
      </c>
      <c r="K65" s="4">
        <v>46189</v>
      </c>
      <c r="L65" t="s">
        <v>18</v>
      </c>
      <c r="M65">
        <v>395</v>
      </c>
      <c r="N65" t="str">
        <f t="shared" si="0"/>
        <v>6 meses a 12 meses</v>
      </c>
      <c r="O65" s="3">
        <f t="shared" si="1"/>
        <v>6.4</v>
      </c>
    </row>
    <row r="66" spans="1:15" x14ac:dyDescent="0.3">
      <c r="A66" t="s">
        <v>14</v>
      </c>
      <c r="B66">
        <v>191</v>
      </c>
      <c r="C66" t="s">
        <v>124</v>
      </c>
      <c r="D66" t="s">
        <v>16</v>
      </c>
      <c r="E66">
        <v>1293</v>
      </c>
      <c r="F66">
        <v>13.91</v>
      </c>
      <c r="G66">
        <v>14</v>
      </c>
      <c r="H66" s="1">
        <v>0.92279999999999995</v>
      </c>
      <c r="I66" t="s">
        <v>125</v>
      </c>
      <c r="J66" s="2">
        <v>45993</v>
      </c>
      <c r="K66" s="4">
        <v>46189</v>
      </c>
      <c r="L66" t="s">
        <v>18</v>
      </c>
      <c r="M66">
        <v>1057</v>
      </c>
      <c r="N66" t="str">
        <f t="shared" si="0"/>
        <v>6 meses a 12 meses</v>
      </c>
      <c r="O66" s="3">
        <f t="shared" si="1"/>
        <v>6.5333333333333332</v>
      </c>
    </row>
    <row r="67" spans="1:15" x14ac:dyDescent="0.3">
      <c r="A67" t="s">
        <v>21</v>
      </c>
      <c r="B67">
        <v>119</v>
      </c>
      <c r="C67" t="s">
        <v>126</v>
      </c>
      <c r="D67" t="s">
        <v>127</v>
      </c>
      <c r="E67">
        <v>3718</v>
      </c>
      <c r="F67">
        <v>14.58</v>
      </c>
      <c r="G67">
        <v>14</v>
      </c>
      <c r="H67" s="1">
        <v>0.96730000000000005</v>
      </c>
      <c r="I67" t="s">
        <v>128</v>
      </c>
      <c r="J67" s="2">
        <v>45992</v>
      </c>
      <c r="K67" s="2">
        <v>45991</v>
      </c>
      <c r="L67" t="s">
        <v>18</v>
      </c>
      <c r="M67">
        <v>2240</v>
      </c>
      <c r="N67" t="str">
        <f t="shared" ref="N67:N130" si="2">+IF(O67&lt;=3,"0 a 3 meses",IF(O67&lt;=6,"3 meses a 6 meses",IF(O67&lt;=12,"6 meses a 12 meses",IF(O67&lt;=24,"1 año a 2 años","mayor a 2 años"))))</f>
        <v>0 a 3 meses</v>
      </c>
      <c r="O67" s="3">
        <v>0</v>
      </c>
    </row>
    <row r="68" spans="1:15" x14ac:dyDescent="0.3">
      <c r="A68" t="s">
        <v>21</v>
      </c>
      <c r="B68">
        <v>209</v>
      </c>
      <c r="C68" t="s">
        <v>129</v>
      </c>
      <c r="D68" t="s">
        <v>16</v>
      </c>
      <c r="E68">
        <v>1681</v>
      </c>
      <c r="F68">
        <v>18.53</v>
      </c>
      <c r="G68">
        <v>14</v>
      </c>
      <c r="H68" s="1">
        <v>1.2289000000000001</v>
      </c>
      <c r="I68" t="s">
        <v>128</v>
      </c>
      <c r="J68" s="2">
        <v>45992</v>
      </c>
      <c r="K68" s="4">
        <v>46189</v>
      </c>
      <c r="L68" t="s">
        <v>18</v>
      </c>
      <c r="M68">
        <v>4677</v>
      </c>
      <c r="N68" t="str">
        <f t="shared" si="2"/>
        <v>6 meses a 12 meses</v>
      </c>
      <c r="O68" s="3">
        <f t="shared" ref="O67:O130" si="3">+(K68-J68)/30</f>
        <v>6.5666666666666664</v>
      </c>
    </row>
    <row r="69" spans="1:15" x14ac:dyDescent="0.3">
      <c r="A69" t="s">
        <v>48</v>
      </c>
      <c r="B69">
        <v>280</v>
      </c>
      <c r="C69" t="s">
        <v>130</v>
      </c>
      <c r="D69" t="s">
        <v>16</v>
      </c>
      <c r="E69">
        <v>1242</v>
      </c>
      <c r="F69">
        <v>16.43</v>
      </c>
      <c r="G69">
        <v>15</v>
      </c>
      <c r="H69" s="1">
        <v>1.0894999999999999</v>
      </c>
      <c r="I69" t="s">
        <v>128</v>
      </c>
      <c r="J69" s="2">
        <v>45992</v>
      </c>
      <c r="K69" s="4">
        <v>46189</v>
      </c>
      <c r="L69" t="s">
        <v>18</v>
      </c>
      <c r="M69">
        <v>1388</v>
      </c>
      <c r="N69" t="str">
        <f t="shared" si="2"/>
        <v>6 meses a 12 meses</v>
      </c>
      <c r="O69" s="3">
        <f t="shared" si="3"/>
        <v>6.5666666666666664</v>
      </c>
    </row>
    <row r="70" spans="1:15" x14ac:dyDescent="0.3">
      <c r="A70" t="s">
        <v>100</v>
      </c>
      <c r="B70">
        <v>254</v>
      </c>
      <c r="C70" t="s">
        <v>131</v>
      </c>
      <c r="D70" t="s">
        <v>43</v>
      </c>
      <c r="E70">
        <v>1432</v>
      </c>
      <c r="F70">
        <v>19.88</v>
      </c>
      <c r="G70">
        <v>14</v>
      </c>
      <c r="H70" s="1">
        <v>1.3185</v>
      </c>
      <c r="I70" t="s">
        <v>128</v>
      </c>
      <c r="J70" s="2">
        <v>45992</v>
      </c>
      <c r="K70" s="4">
        <v>46189</v>
      </c>
      <c r="L70" t="s">
        <v>18</v>
      </c>
      <c r="M70">
        <v>3052</v>
      </c>
      <c r="N70" t="str">
        <f t="shared" si="2"/>
        <v>6 meses a 12 meses</v>
      </c>
      <c r="O70" s="3">
        <f t="shared" si="3"/>
        <v>6.5666666666666664</v>
      </c>
    </row>
    <row r="71" spans="1:15" x14ac:dyDescent="0.3">
      <c r="A71" t="s">
        <v>29</v>
      </c>
      <c r="B71">
        <v>160</v>
      </c>
      <c r="C71" t="s">
        <v>132</v>
      </c>
      <c r="D71" t="s">
        <v>25</v>
      </c>
      <c r="E71">
        <v>1498</v>
      </c>
      <c r="F71">
        <v>27.62</v>
      </c>
      <c r="G71">
        <v>28</v>
      </c>
      <c r="H71" s="1">
        <v>1.8317000000000001</v>
      </c>
      <c r="I71" t="s">
        <v>128</v>
      </c>
      <c r="J71" s="2">
        <v>45992</v>
      </c>
      <c r="K71" s="4">
        <v>46189</v>
      </c>
      <c r="L71" t="s">
        <v>18</v>
      </c>
      <c r="M71">
        <v>9400</v>
      </c>
      <c r="N71" t="str">
        <f t="shared" si="2"/>
        <v>6 meses a 12 meses</v>
      </c>
      <c r="O71" s="3">
        <f t="shared" si="3"/>
        <v>6.5666666666666664</v>
      </c>
    </row>
    <row r="72" spans="1:15" x14ac:dyDescent="0.3">
      <c r="A72" t="s">
        <v>26</v>
      </c>
      <c r="B72">
        <v>179</v>
      </c>
      <c r="C72" t="s">
        <v>133</v>
      </c>
      <c r="D72" t="s">
        <v>16</v>
      </c>
      <c r="E72">
        <v>799</v>
      </c>
      <c r="F72">
        <v>12.62</v>
      </c>
      <c r="G72">
        <v>14</v>
      </c>
      <c r="H72" s="1">
        <v>0.83730000000000004</v>
      </c>
      <c r="I72" t="s">
        <v>134</v>
      </c>
      <c r="J72" s="2">
        <v>45989</v>
      </c>
      <c r="K72" s="4">
        <v>46189</v>
      </c>
      <c r="L72" t="s">
        <v>18</v>
      </c>
      <c r="M72">
        <v>470</v>
      </c>
      <c r="N72" t="str">
        <f t="shared" si="2"/>
        <v>6 meses a 12 meses</v>
      </c>
      <c r="O72" s="3">
        <f t="shared" si="3"/>
        <v>6.666666666666667</v>
      </c>
    </row>
    <row r="73" spans="1:15" x14ac:dyDescent="0.3">
      <c r="A73" t="s">
        <v>21</v>
      </c>
      <c r="B73">
        <v>206</v>
      </c>
      <c r="C73" t="s">
        <v>135</v>
      </c>
      <c r="D73" t="s">
        <v>16</v>
      </c>
      <c r="E73">
        <v>1681</v>
      </c>
      <c r="F73">
        <v>16.22</v>
      </c>
      <c r="G73">
        <v>14</v>
      </c>
      <c r="H73" s="1">
        <v>1.0754999999999999</v>
      </c>
      <c r="I73" t="s">
        <v>136</v>
      </c>
      <c r="J73" s="2">
        <v>45986</v>
      </c>
      <c r="K73" s="4">
        <v>46189</v>
      </c>
      <c r="L73" t="s">
        <v>18</v>
      </c>
      <c r="M73">
        <v>3113</v>
      </c>
      <c r="N73" t="str">
        <f t="shared" si="2"/>
        <v>6 meses a 12 meses</v>
      </c>
      <c r="O73" s="3">
        <f t="shared" si="3"/>
        <v>6.7666666666666666</v>
      </c>
    </row>
    <row r="74" spans="1:15" x14ac:dyDescent="0.3">
      <c r="A74" t="s">
        <v>137</v>
      </c>
      <c r="B74">
        <v>247</v>
      </c>
      <c r="C74" t="s">
        <v>138</v>
      </c>
      <c r="D74" t="s">
        <v>16</v>
      </c>
      <c r="E74">
        <v>988</v>
      </c>
      <c r="F74">
        <v>15.18</v>
      </c>
      <c r="G74">
        <v>14</v>
      </c>
      <c r="H74" s="1">
        <v>1.0069999999999999</v>
      </c>
      <c r="I74" t="s">
        <v>139</v>
      </c>
      <c r="J74" s="2">
        <v>45981</v>
      </c>
      <c r="K74" s="4">
        <v>46189</v>
      </c>
      <c r="L74" t="s">
        <v>18</v>
      </c>
      <c r="M74">
        <v>2238</v>
      </c>
      <c r="N74" t="str">
        <f t="shared" si="2"/>
        <v>6 meses a 12 meses</v>
      </c>
      <c r="O74" s="3">
        <f t="shared" si="3"/>
        <v>6.9333333333333336</v>
      </c>
    </row>
    <row r="75" spans="1:15" x14ac:dyDescent="0.3">
      <c r="A75" t="s">
        <v>110</v>
      </c>
      <c r="B75">
        <v>328</v>
      </c>
      <c r="C75" t="s">
        <v>140</v>
      </c>
      <c r="D75" t="s">
        <v>16</v>
      </c>
      <c r="E75">
        <v>981</v>
      </c>
      <c r="F75">
        <v>10.79</v>
      </c>
      <c r="G75">
        <v>14</v>
      </c>
      <c r="H75" s="1">
        <v>0.71540000000000004</v>
      </c>
      <c r="I75" t="s">
        <v>141</v>
      </c>
      <c r="J75" s="2">
        <v>45980</v>
      </c>
      <c r="K75" s="4">
        <v>46189</v>
      </c>
      <c r="L75" t="s">
        <v>18</v>
      </c>
      <c r="M75">
        <v>3</v>
      </c>
      <c r="N75" t="str">
        <f t="shared" si="2"/>
        <v>6 meses a 12 meses</v>
      </c>
      <c r="O75" s="3">
        <f t="shared" si="3"/>
        <v>6.9666666666666668</v>
      </c>
    </row>
    <row r="76" spans="1:15" x14ac:dyDescent="0.3">
      <c r="A76" t="s">
        <v>110</v>
      </c>
      <c r="B76">
        <v>327</v>
      </c>
      <c r="C76" t="s">
        <v>142</v>
      </c>
      <c r="D76" t="s">
        <v>16</v>
      </c>
      <c r="E76">
        <v>1192</v>
      </c>
      <c r="F76">
        <v>14.71</v>
      </c>
      <c r="G76">
        <v>14</v>
      </c>
      <c r="H76" s="1">
        <v>0.97589999999999999</v>
      </c>
      <c r="I76" t="s">
        <v>143</v>
      </c>
      <c r="J76" s="2">
        <v>45975</v>
      </c>
      <c r="K76" s="4">
        <v>46189</v>
      </c>
      <c r="L76" t="s">
        <v>18</v>
      </c>
      <c r="M76">
        <v>469</v>
      </c>
      <c r="N76" t="str">
        <f t="shared" si="2"/>
        <v>6 meses a 12 meses</v>
      </c>
      <c r="O76" s="3">
        <f t="shared" si="3"/>
        <v>7.1333333333333337</v>
      </c>
    </row>
    <row r="77" spans="1:15" x14ac:dyDescent="0.3">
      <c r="A77" t="s">
        <v>21</v>
      </c>
      <c r="B77">
        <v>203</v>
      </c>
      <c r="C77" t="s">
        <v>144</v>
      </c>
      <c r="D77" t="s">
        <v>16</v>
      </c>
      <c r="E77">
        <v>551</v>
      </c>
      <c r="F77">
        <v>11.42</v>
      </c>
      <c r="G77">
        <v>14</v>
      </c>
      <c r="H77" s="1">
        <v>0.75729999999999997</v>
      </c>
      <c r="I77" t="s">
        <v>143</v>
      </c>
      <c r="J77" s="2">
        <v>45975</v>
      </c>
      <c r="K77" s="4">
        <v>46189</v>
      </c>
      <c r="L77" t="s">
        <v>99</v>
      </c>
      <c r="M77">
        <v>4</v>
      </c>
      <c r="N77" t="str">
        <f t="shared" si="2"/>
        <v>6 meses a 12 meses</v>
      </c>
      <c r="O77" s="3">
        <f t="shared" si="3"/>
        <v>7.1333333333333337</v>
      </c>
    </row>
    <row r="78" spans="1:15" x14ac:dyDescent="0.3">
      <c r="A78" t="s">
        <v>48</v>
      </c>
      <c r="B78">
        <v>278</v>
      </c>
      <c r="C78" t="s">
        <v>145</v>
      </c>
      <c r="D78" t="s">
        <v>25</v>
      </c>
      <c r="E78">
        <v>1012</v>
      </c>
      <c r="F78">
        <v>13.33</v>
      </c>
      <c r="G78">
        <v>15</v>
      </c>
      <c r="H78" s="1">
        <v>0.88390000000000002</v>
      </c>
      <c r="I78" t="s">
        <v>143</v>
      </c>
      <c r="J78" s="2">
        <v>45975</v>
      </c>
      <c r="K78" s="2">
        <v>45747</v>
      </c>
      <c r="L78" t="s">
        <v>18</v>
      </c>
      <c r="M78">
        <v>3</v>
      </c>
      <c r="N78" t="str">
        <f t="shared" si="2"/>
        <v>0 a 3 meses</v>
      </c>
      <c r="O78" s="3">
        <v>0</v>
      </c>
    </row>
    <row r="79" spans="1:15" x14ac:dyDescent="0.3">
      <c r="A79" t="s">
        <v>48</v>
      </c>
      <c r="B79">
        <v>279</v>
      </c>
      <c r="C79" t="s">
        <v>146</v>
      </c>
      <c r="D79" t="s">
        <v>25</v>
      </c>
      <c r="E79">
        <v>1255</v>
      </c>
      <c r="F79">
        <v>16.440000000000001</v>
      </c>
      <c r="G79">
        <v>15</v>
      </c>
      <c r="H79" s="1">
        <v>1.0905</v>
      </c>
      <c r="I79" t="s">
        <v>143</v>
      </c>
      <c r="J79" s="2">
        <v>45975</v>
      </c>
      <c r="K79" s="4">
        <v>46189</v>
      </c>
      <c r="L79" t="s">
        <v>18</v>
      </c>
      <c r="M79">
        <v>1883</v>
      </c>
      <c r="N79" t="str">
        <f t="shared" si="2"/>
        <v>6 meses a 12 meses</v>
      </c>
      <c r="O79" s="3">
        <f t="shared" si="3"/>
        <v>7.1333333333333337</v>
      </c>
    </row>
    <row r="80" spans="1:15" x14ac:dyDescent="0.3">
      <c r="A80" t="s">
        <v>14</v>
      </c>
      <c r="B80">
        <v>188</v>
      </c>
      <c r="C80" t="s">
        <v>147</v>
      </c>
      <c r="D80" t="s">
        <v>25</v>
      </c>
      <c r="E80">
        <v>348</v>
      </c>
      <c r="F80">
        <v>11.67</v>
      </c>
      <c r="G80">
        <v>14</v>
      </c>
      <c r="H80" s="1">
        <v>0.77370000000000005</v>
      </c>
      <c r="I80" t="s">
        <v>143</v>
      </c>
      <c r="J80" s="2">
        <v>45975</v>
      </c>
      <c r="K80" s="4">
        <v>46189</v>
      </c>
      <c r="L80" t="s">
        <v>99</v>
      </c>
      <c r="M80">
        <v>180</v>
      </c>
      <c r="N80" t="str">
        <f t="shared" si="2"/>
        <v>6 meses a 12 meses</v>
      </c>
      <c r="O80" s="3">
        <f t="shared" si="3"/>
        <v>7.1333333333333337</v>
      </c>
    </row>
    <row r="81" spans="1:15" x14ac:dyDescent="0.3">
      <c r="A81" t="s">
        <v>110</v>
      </c>
      <c r="B81">
        <v>326</v>
      </c>
      <c r="C81" t="s">
        <v>148</v>
      </c>
      <c r="D81" t="s">
        <v>43</v>
      </c>
      <c r="E81">
        <v>1151</v>
      </c>
      <c r="F81">
        <v>10.91</v>
      </c>
      <c r="G81">
        <v>14</v>
      </c>
      <c r="H81" s="1">
        <v>0.72330000000000005</v>
      </c>
      <c r="I81" t="s">
        <v>149</v>
      </c>
      <c r="J81" s="2">
        <v>45974</v>
      </c>
      <c r="K81" s="4">
        <v>46189</v>
      </c>
      <c r="L81" t="s">
        <v>18</v>
      </c>
      <c r="M81">
        <v>4</v>
      </c>
      <c r="N81" t="str">
        <f t="shared" si="2"/>
        <v>6 meses a 12 meses</v>
      </c>
      <c r="O81" s="3">
        <f t="shared" si="3"/>
        <v>7.166666666666667</v>
      </c>
    </row>
    <row r="82" spans="1:15" x14ac:dyDescent="0.3">
      <c r="A82" t="s">
        <v>21</v>
      </c>
      <c r="B82">
        <v>202</v>
      </c>
      <c r="C82" t="s">
        <v>150</v>
      </c>
      <c r="D82" t="s">
        <v>16</v>
      </c>
      <c r="E82">
        <v>1490</v>
      </c>
      <c r="F82">
        <v>15.12</v>
      </c>
      <c r="G82">
        <v>14</v>
      </c>
      <c r="H82" s="1">
        <v>1.0027999999999999</v>
      </c>
      <c r="I82" t="s">
        <v>151</v>
      </c>
      <c r="J82" s="2">
        <v>45971</v>
      </c>
      <c r="K82" s="4">
        <v>46189</v>
      </c>
      <c r="L82" t="s">
        <v>18</v>
      </c>
      <c r="M82">
        <v>658</v>
      </c>
      <c r="N82" t="str">
        <f t="shared" si="2"/>
        <v>6 meses a 12 meses</v>
      </c>
      <c r="O82" s="3">
        <f t="shared" si="3"/>
        <v>7.2666666666666666</v>
      </c>
    </row>
    <row r="83" spans="1:15" x14ac:dyDescent="0.3">
      <c r="A83" t="s">
        <v>14</v>
      </c>
      <c r="B83">
        <v>187</v>
      </c>
      <c r="C83" t="s">
        <v>152</v>
      </c>
      <c r="D83" t="s">
        <v>25</v>
      </c>
      <c r="E83">
        <v>1276</v>
      </c>
      <c r="F83">
        <v>13.77</v>
      </c>
      <c r="G83">
        <v>14</v>
      </c>
      <c r="H83" s="1">
        <v>0.91300000000000003</v>
      </c>
      <c r="I83" t="s">
        <v>153</v>
      </c>
      <c r="J83" s="2">
        <v>45968</v>
      </c>
      <c r="K83" s="4">
        <v>46189</v>
      </c>
      <c r="L83" t="s">
        <v>18</v>
      </c>
      <c r="M83">
        <v>1150</v>
      </c>
      <c r="N83" t="str">
        <f t="shared" si="2"/>
        <v>6 meses a 12 meses</v>
      </c>
      <c r="O83" s="3">
        <f t="shared" si="3"/>
        <v>7.3666666666666663</v>
      </c>
    </row>
    <row r="84" spans="1:15" x14ac:dyDescent="0.3">
      <c r="A84" t="s">
        <v>33</v>
      </c>
      <c r="B84">
        <v>243</v>
      </c>
      <c r="C84" t="s">
        <v>154</v>
      </c>
      <c r="D84" t="s">
        <v>16</v>
      </c>
      <c r="E84">
        <v>829</v>
      </c>
      <c r="F84">
        <v>13.96</v>
      </c>
      <c r="G84">
        <v>14</v>
      </c>
      <c r="H84" s="1">
        <v>0.92579999999999996</v>
      </c>
      <c r="I84" t="s">
        <v>155</v>
      </c>
      <c r="J84" s="2">
        <v>45965</v>
      </c>
      <c r="K84" s="4">
        <v>46189</v>
      </c>
      <c r="L84" t="s">
        <v>18</v>
      </c>
      <c r="M84">
        <v>736</v>
      </c>
      <c r="N84" t="str">
        <f t="shared" si="2"/>
        <v>6 meses a 12 meses</v>
      </c>
      <c r="O84" s="3">
        <f t="shared" si="3"/>
        <v>7.4666666666666668</v>
      </c>
    </row>
    <row r="85" spans="1:15" x14ac:dyDescent="0.3">
      <c r="A85" t="s">
        <v>137</v>
      </c>
      <c r="B85">
        <v>245</v>
      </c>
      <c r="C85" t="s">
        <v>156</v>
      </c>
      <c r="D85" t="s">
        <v>16</v>
      </c>
      <c r="E85">
        <v>838</v>
      </c>
      <c r="F85">
        <v>14.39</v>
      </c>
      <c r="G85">
        <v>14</v>
      </c>
      <c r="H85" s="1">
        <v>0.95440000000000003</v>
      </c>
      <c r="I85" t="s">
        <v>157</v>
      </c>
      <c r="J85" s="2">
        <v>45964</v>
      </c>
      <c r="K85" s="4">
        <v>46189</v>
      </c>
      <c r="L85" t="s">
        <v>18</v>
      </c>
      <c r="M85">
        <v>137</v>
      </c>
      <c r="N85" t="str">
        <f t="shared" si="2"/>
        <v>6 meses a 12 meses</v>
      </c>
      <c r="O85" s="3">
        <f t="shared" si="3"/>
        <v>7.5</v>
      </c>
    </row>
    <row r="86" spans="1:15" x14ac:dyDescent="0.3">
      <c r="A86" t="s">
        <v>137</v>
      </c>
      <c r="B86">
        <v>243</v>
      </c>
      <c r="C86" t="s">
        <v>158</v>
      </c>
      <c r="D86" t="s">
        <v>16</v>
      </c>
      <c r="E86">
        <v>812</v>
      </c>
      <c r="F86">
        <v>14.5</v>
      </c>
      <c r="G86">
        <v>14</v>
      </c>
      <c r="H86" s="1">
        <v>0.96150000000000002</v>
      </c>
      <c r="I86" t="s">
        <v>157</v>
      </c>
      <c r="J86" s="2">
        <v>45964</v>
      </c>
      <c r="K86" s="4">
        <v>46189</v>
      </c>
      <c r="L86" t="s">
        <v>18</v>
      </c>
      <c r="M86">
        <v>1261</v>
      </c>
      <c r="N86" t="str">
        <f t="shared" si="2"/>
        <v>6 meses a 12 meses</v>
      </c>
      <c r="O86" s="3">
        <f t="shared" si="3"/>
        <v>7.5</v>
      </c>
    </row>
    <row r="87" spans="1:15" x14ac:dyDescent="0.3">
      <c r="A87" t="s">
        <v>137</v>
      </c>
      <c r="B87">
        <v>246</v>
      </c>
      <c r="C87" t="s">
        <v>159</v>
      </c>
      <c r="D87" t="s">
        <v>16</v>
      </c>
      <c r="E87">
        <v>780</v>
      </c>
      <c r="F87">
        <v>12.55</v>
      </c>
      <c r="G87">
        <v>14</v>
      </c>
      <c r="H87" s="1">
        <v>0.8327</v>
      </c>
      <c r="I87" t="s">
        <v>157</v>
      </c>
      <c r="J87" s="2">
        <v>45964</v>
      </c>
      <c r="K87" s="4">
        <v>46189</v>
      </c>
      <c r="L87" t="s">
        <v>18</v>
      </c>
      <c r="M87">
        <v>217</v>
      </c>
      <c r="N87" t="str">
        <f t="shared" si="2"/>
        <v>6 meses a 12 meses</v>
      </c>
      <c r="O87" s="3">
        <f t="shared" si="3"/>
        <v>7.5</v>
      </c>
    </row>
    <row r="88" spans="1:15" x14ac:dyDescent="0.3">
      <c r="A88" t="s">
        <v>137</v>
      </c>
      <c r="B88">
        <v>244</v>
      </c>
      <c r="C88" t="s">
        <v>160</v>
      </c>
      <c r="D88" t="s">
        <v>16</v>
      </c>
      <c r="E88">
        <v>954</v>
      </c>
      <c r="F88">
        <v>14.53</v>
      </c>
      <c r="G88">
        <v>14</v>
      </c>
      <c r="H88" s="1">
        <v>0.96409999999999996</v>
      </c>
      <c r="I88" t="s">
        <v>157</v>
      </c>
      <c r="J88" s="2">
        <v>45964</v>
      </c>
      <c r="K88" s="4">
        <v>46189</v>
      </c>
      <c r="L88" t="s">
        <v>18</v>
      </c>
      <c r="M88">
        <v>428</v>
      </c>
      <c r="N88" t="str">
        <f t="shared" si="2"/>
        <v>6 meses a 12 meses</v>
      </c>
      <c r="O88" s="3">
        <f t="shared" si="3"/>
        <v>7.5</v>
      </c>
    </row>
    <row r="89" spans="1:15" x14ac:dyDescent="0.3">
      <c r="A89" t="s">
        <v>33</v>
      </c>
      <c r="B89">
        <v>171</v>
      </c>
      <c r="C89" t="s">
        <v>161</v>
      </c>
      <c r="D89" t="s">
        <v>127</v>
      </c>
      <c r="E89">
        <v>2342</v>
      </c>
      <c r="F89">
        <v>13.18</v>
      </c>
      <c r="G89">
        <v>14</v>
      </c>
      <c r="H89" s="1">
        <v>0.87390000000000001</v>
      </c>
      <c r="I89" t="s">
        <v>162</v>
      </c>
      <c r="J89" s="2">
        <v>45962</v>
      </c>
      <c r="K89" s="2">
        <v>45961</v>
      </c>
      <c r="L89" t="s">
        <v>18</v>
      </c>
      <c r="M89">
        <v>17</v>
      </c>
      <c r="N89" t="str">
        <f t="shared" si="2"/>
        <v>0 a 3 meses</v>
      </c>
      <c r="O89" s="3">
        <v>0</v>
      </c>
    </row>
    <row r="90" spans="1:15" x14ac:dyDescent="0.3">
      <c r="A90" t="s">
        <v>110</v>
      </c>
      <c r="B90">
        <v>325</v>
      </c>
      <c r="C90" t="s">
        <v>163</v>
      </c>
      <c r="D90" t="s">
        <v>39</v>
      </c>
      <c r="E90">
        <v>1056</v>
      </c>
      <c r="F90">
        <v>10.77</v>
      </c>
      <c r="G90">
        <v>14</v>
      </c>
      <c r="H90" s="1">
        <v>0.71419999999999995</v>
      </c>
      <c r="I90" t="s">
        <v>164</v>
      </c>
      <c r="J90" s="2">
        <v>45961</v>
      </c>
      <c r="K90" s="4">
        <v>46189</v>
      </c>
      <c r="L90" t="s">
        <v>18</v>
      </c>
      <c r="M90">
        <v>11</v>
      </c>
      <c r="N90" t="str">
        <f t="shared" si="2"/>
        <v>6 meses a 12 meses</v>
      </c>
      <c r="O90" s="3">
        <f t="shared" si="3"/>
        <v>7.6</v>
      </c>
    </row>
    <row r="91" spans="1:15" x14ac:dyDescent="0.3">
      <c r="A91" t="s">
        <v>33</v>
      </c>
      <c r="B91">
        <v>242</v>
      </c>
      <c r="C91" t="s">
        <v>165</v>
      </c>
      <c r="D91" t="s">
        <v>25</v>
      </c>
      <c r="E91">
        <v>945</v>
      </c>
      <c r="F91">
        <v>11.8</v>
      </c>
      <c r="G91">
        <v>14</v>
      </c>
      <c r="H91" s="1">
        <v>0.78259999999999996</v>
      </c>
      <c r="I91" t="s">
        <v>166</v>
      </c>
      <c r="J91" s="2">
        <v>45953</v>
      </c>
      <c r="K91" s="4">
        <v>46189</v>
      </c>
      <c r="L91" t="s">
        <v>18</v>
      </c>
      <c r="M91">
        <v>138</v>
      </c>
      <c r="N91" t="str">
        <f t="shared" si="2"/>
        <v>6 meses a 12 meses</v>
      </c>
      <c r="O91" s="3">
        <f t="shared" si="3"/>
        <v>7.8666666666666663</v>
      </c>
    </row>
    <row r="92" spans="1:15" x14ac:dyDescent="0.3">
      <c r="A92" t="s">
        <v>33</v>
      </c>
      <c r="B92">
        <v>241</v>
      </c>
      <c r="C92" t="s">
        <v>167</v>
      </c>
      <c r="D92" t="s">
        <v>127</v>
      </c>
      <c r="E92">
        <v>1978</v>
      </c>
      <c r="F92">
        <v>17.100000000000001</v>
      </c>
      <c r="G92">
        <v>14</v>
      </c>
      <c r="H92" s="1">
        <v>1.1338999999999999</v>
      </c>
      <c r="I92" t="s">
        <v>168</v>
      </c>
      <c r="J92" s="2">
        <v>45943</v>
      </c>
      <c r="K92" s="4">
        <v>46189</v>
      </c>
      <c r="L92" t="s">
        <v>18</v>
      </c>
      <c r="M92">
        <v>3876</v>
      </c>
      <c r="N92" t="str">
        <f t="shared" si="2"/>
        <v>6 meses a 12 meses</v>
      </c>
      <c r="O92" s="3">
        <f t="shared" si="3"/>
        <v>8.1999999999999993</v>
      </c>
    </row>
    <row r="93" spans="1:15" x14ac:dyDescent="0.3">
      <c r="A93" t="s">
        <v>33</v>
      </c>
      <c r="B93">
        <v>239</v>
      </c>
      <c r="C93" t="s">
        <v>169</v>
      </c>
      <c r="D93" t="s">
        <v>25</v>
      </c>
      <c r="E93">
        <v>969</v>
      </c>
      <c r="F93">
        <v>16.350000000000001</v>
      </c>
      <c r="G93">
        <v>14</v>
      </c>
      <c r="H93" s="1">
        <v>1.0844</v>
      </c>
      <c r="I93" t="s">
        <v>170</v>
      </c>
      <c r="J93" s="2">
        <v>45939</v>
      </c>
      <c r="K93" s="4">
        <v>46189</v>
      </c>
      <c r="L93" t="s">
        <v>18</v>
      </c>
      <c r="M93">
        <v>1640</v>
      </c>
      <c r="N93" t="str">
        <f t="shared" si="2"/>
        <v>6 meses a 12 meses</v>
      </c>
      <c r="O93" s="3">
        <f t="shared" si="3"/>
        <v>8.3333333333333339</v>
      </c>
    </row>
    <row r="94" spans="1:15" x14ac:dyDescent="0.3">
      <c r="A94" t="s">
        <v>48</v>
      </c>
      <c r="B94">
        <v>277</v>
      </c>
      <c r="C94" t="s">
        <v>171</v>
      </c>
      <c r="D94" t="s">
        <v>39</v>
      </c>
      <c r="E94">
        <v>885</v>
      </c>
      <c r="F94">
        <v>21.33</v>
      </c>
      <c r="G94">
        <v>15</v>
      </c>
      <c r="H94" s="1">
        <v>1.4144000000000001</v>
      </c>
      <c r="I94" t="s">
        <v>172</v>
      </c>
      <c r="J94" s="2">
        <v>45919</v>
      </c>
      <c r="K94" s="4">
        <v>46189</v>
      </c>
      <c r="L94" t="s">
        <v>18</v>
      </c>
      <c r="M94">
        <v>4080</v>
      </c>
      <c r="N94" t="str">
        <f t="shared" si="2"/>
        <v>6 meses a 12 meses</v>
      </c>
      <c r="O94" s="3">
        <f t="shared" si="3"/>
        <v>9</v>
      </c>
    </row>
    <row r="95" spans="1:15" x14ac:dyDescent="0.3">
      <c r="A95" t="s">
        <v>48</v>
      </c>
      <c r="B95">
        <v>274</v>
      </c>
      <c r="C95" t="s">
        <v>173</v>
      </c>
      <c r="D95" t="s">
        <v>16</v>
      </c>
      <c r="E95">
        <v>1285</v>
      </c>
      <c r="F95">
        <v>15.58</v>
      </c>
      <c r="G95">
        <v>15</v>
      </c>
      <c r="H95" s="1">
        <v>1.0336000000000001</v>
      </c>
      <c r="I95" t="s">
        <v>174</v>
      </c>
      <c r="J95" s="2">
        <v>45903</v>
      </c>
      <c r="K95" s="4">
        <v>46189</v>
      </c>
      <c r="L95" t="s">
        <v>18</v>
      </c>
      <c r="M95">
        <v>1802</v>
      </c>
      <c r="N95" t="str">
        <f t="shared" si="2"/>
        <v>6 meses a 12 meses</v>
      </c>
      <c r="O95" s="3">
        <f t="shared" si="3"/>
        <v>9.5333333333333332</v>
      </c>
    </row>
    <row r="96" spans="1:15" x14ac:dyDescent="0.3">
      <c r="A96" t="s">
        <v>48</v>
      </c>
      <c r="B96">
        <v>271</v>
      </c>
      <c r="C96" t="s">
        <v>175</v>
      </c>
      <c r="D96" t="s">
        <v>25</v>
      </c>
      <c r="E96">
        <v>1378</v>
      </c>
      <c r="F96">
        <v>16.32</v>
      </c>
      <c r="G96">
        <v>15</v>
      </c>
      <c r="H96" s="1">
        <v>1.0825</v>
      </c>
      <c r="I96" t="s">
        <v>176</v>
      </c>
      <c r="J96" s="2">
        <v>45896</v>
      </c>
      <c r="K96" s="4">
        <v>46189</v>
      </c>
      <c r="L96" t="s">
        <v>18</v>
      </c>
      <c r="M96">
        <v>12</v>
      </c>
      <c r="N96" t="str">
        <f t="shared" si="2"/>
        <v>6 meses a 12 meses</v>
      </c>
      <c r="O96" s="3">
        <f t="shared" si="3"/>
        <v>9.7666666666666675</v>
      </c>
    </row>
    <row r="97" spans="1:15" x14ac:dyDescent="0.3">
      <c r="A97" t="s">
        <v>48</v>
      </c>
      <c r="B97">
        <v>268</v>
      </c>
      <c r="C97" t="s">
        <v>177</v>
      </c>
      <c r="D97" t="s">
        <v>39</v>
      </c>
      <c r="E97">
        <v>839</v>
      </c>
      <c r="F97">
        <v>14.03</v>
      </c>
      <c r="G97">
        <v>15</v>
      </c>
      <c r="H97" s="1">
        <v>0.93049999999999999</v>
      </c>
      <c r="I97" t="s">
        <v>176</v>
      </c>
      <c r="J97" s="2">
        <v>45896</v>
      </c>
      <c r="K97" s="4">
        <v>46189</v>
      </c>
      <c r="L97" t="s">
        <v>18</v>
      </c>
      <c r="M97">
        <v>593</v>
      </c>
      <c r="N97" t="str">
        <f t="shared" si="2"/>
        <v>6 meses a 12 meses</v>
      </c>
      <c r="O97" s="3">
        <f t="shared" si="3"/>
        <v>9.7666666666666675</v>
      </c>
    </row>
    <row r="98" spans="1:15" x14ac:dyDescent="0.3">
      <c r="A98" t="s">
        <v>48</v>
      </c>
      <c r="B98">
        <v>270</v>
      </c>
      <c r="C98" t="s">
        <v>178</v>
      </c>
      <c r="D98" t="s">
        <v>43</v>
      </c>
      <c r="E98">
        <v>1110</v>
      </c>
      <c r="F98">
        <v>16.93</v>
      </c>
      <c r="G98">
        <v>15</v>
      </c>
      <c r="H98" s="1">
        <v>1.1229</v>
      </c>
      <c r="I98" t="s">
        <v>176</v>
      </c>
      <c r="J98" s="2">
        <v>45896</v>
      </c>
      <c r="K98" s="4">
        <v>46189</v>
      </c>
      <c r="L98" t="s">
        <v>18</v>
      </c>
      <c r="M98">
        <v>1946</v>
      </c>
      <c r="N98" t="str">
        <f t="shared" si="2"/>
        <v>6 meses a 12 meses</v>
      </c>
      <c r="O98" s="3">
        <f t="shared" si="3"/>
        <v>9.7666666666666675</v>
      </c>
    </row>
    <row r="99" spans="1:15" x14ac:dyDescent="0.3">
      <c r="A99" t="s">
        <v>100</v>
      </c>
      <c r="B99">
        <v>251</v>
      </c>
      <c r="C99" t="s">
        <v>179</v>
      </c>
      <c r="D99" t="s">
        <v>43</v>
      </c>
      <c r="E99">
        <v>1075</v>
      </c>
      <c r="F99">
        <v>16.48</v>
      </c>
      <c r="G99">
        <v>14</v>
      </c>
      <c r="H99" s="1">
        <v>1.093</v>
      </c>
      <c r="I99" t="s">
        <v>180</v>
      </c>
      <c r="J99" s="2">
        <v>45888</v>
      </c>
      <c r="K99" s="4">
        <v>46189</v>
      </c>
      <c r="L99" t="s">
        <v>18</v>
      </c>
      <c r="M99">
        <v>733</v>
      </c>
      <c r="N99" t="str">
        <f t="shared" si="2"/>
        <v>6 meses a 12 meses</v>
      </c>
      <c r="O99" s="3">
        <f t="shared" si="3"/>
        <v>10.033333333333333</v>
      </c>
    </row>
    <row r="100" spans="1:15" x14ac:dyDescent="0.3">
      <c r="A100" t="s">
        <v>100</v>
      </c>
      <c r="B100">
        <v>248</v>
      </c>
      <c r="C100" t="s">
        <v>181</v>
      </c>
      <c r="D100" t="s">
        <v>43</v>
      </c>
      <c r="E100">
        <v>1235</v>
      </c>
      <c r="F100">
        <v>13.68</v>
      </c>
      <c r="G100">
        <v>14</v>
      </c>
      <c r="H100" s="1">
        <v>0.90710000000000002</v>
      </c>
      <c r="I100" t="s">
        <v>182</v>
      </c>
      <c r="J100" s="2">
        <v>45881</v>
      </c>
      <c r="K100" s="4">
        <v>46189</v>
      </c>
      <c r="L100" t="s">
        <v>18</v>
      </c>
      <c r="M100">
        <v>194</v>
      </c>
      <c r="N100" t="str">
        <f t="shared" si="2"/>
        <v>6 meses a 12 meses</v>
      </c>
      <c r="O100" s="3">
        <f t="shared" si="3"/>
        <v>10.266666666666667</v>
      </c>
    </row>
    <row r="101" spans="1:15" x14ac:dyDescent="0.3">
      <c r="A101" t="s">
        <v>100</v>
      </c>
      <c r="B101">
        <v>250</v>
      </c>
      <c r="C101" t="s">
        <v>183</v>
      </c>
      <c r="D101" t="s">
        <v>43</v>
      </c>
      <c r="E101">
        <v>963</v>
      </c>
      <c r="F101">
        <v>13.98</v>
      </c>
      <c r="G101">
        <v>14</v>
      </c>
      <c r="H101" s="1">
        <v>0.92730000000000001</v>
      </c>
      <c r="I101" t="s">
        <v>182</v>
      </c>
      <c r="J101" s="2">
        <v>45881</v>
      </c>
      <c r="K101" s="4">
        <v>46189</v>
      </c>
      <c r="L101" t="s">
        <v>18</v>
      </c>
      <c r="M101">
        <v>896</v>
      </c>
      <c r="N101" t="str">
        <f t="shared" si="2"/>
        <v>6 meses a 12 meses</v>
      </c>
      <c r="O101" s="3">
        <f t="shared" si="3"/>
        <v>10.266666666666667</v>
      </c>
    </row>
    <row r="102" spans="1:15" x14ac:dyDescent="0.3">
      <c r="A102" t="s">
        <v>100</v>
      </c>
      <c r="B102">
        <v>249</v>
      </c>
      <c r="C102" t="s">
        <v>184</v>
      </c>
      <c r="D102" t="s">
        <v>43</v>
      </c>
      <c r="E102">
        <v>1377</v>
      </c>
      <c r="F102">
        <v>18.96</v>
      </c>
      <c r="G102">
        <v>14</v>
      </c>
      <c r="H102" s="1">
        <v>1.2576000000000001</v>
      </c>
      <c r="I102" t="s">
        <v>182</v>
      </c>
      <c r="J102" s="2">
        <v>45881</v>
      </c>
      <c r="K102" s="4">
        <v>46189</v>
      </c>
      <c r="L102" t="s">
        <v>18</v>
      </c>
      <c r="M102">
        <v>2895</v>
      </c>
      <c r="N102" t="str">
        <f t="shared" si="2"/>
        <v>6 meses a 12 meses</v>
      </c>
      <c r="O102" s="3">
        <f t="shared" si="3"/>
        <v>10.266666666666667</v>
      </c>
    </row>
    <row r="103" spans="1:15" x14ac:dyDescent="0.3">
      <c r="A103" t="s">
        <v>100</v>
      </c>
      <c r="B103">
        <v>246</v>
      </c>
      <c r="C103" t="s">
        <v>185</v>
      </c>
      <c r="D103" t="s">
        <v>43</v>
      </c>
      <c r="E103">
        <v>1380</v>
      </c>
      <c r="F103">
        <v>19.46</v>
      </c>
      <c r="G103">
        <v>14</v>
      </c>
      <c r="H103" s="1">
        <v>1.2904</v>
      </c>
      <c r="I103" t="s">
        <v>182</v>
      </c>
      <c r="J103" s="2">
        <v>45881</v>
      </c>
      <c r="K103" s="4">
        <v>46189</v>
      </c>
      <c r="L103" t="s">
        <v>18</v>
      </c>
      <c r="M103">
        <v>3602</v>
      </c>
      <c r="N103" t="str">
        <f t="shared" si="2"/>
        <v>6 meses a 12 meses</v>
      </c>
      <c r="O103" s="3">
        <f t="shared" si="3"/>
        <v>10.266666666666667</v>
      </c>
    </row>
    <row r="104" spans="1:15" x14ac:dyDescent="0.3">
      <c r="A104" t="s">
        <v>33</v>
      </c>
      <c r="B104">
        <v>236</v>
      </c>
      <c r="C104" t="s">
        <v>186</v>
      </c>
      <c r="D104" t="s">
        <v>16</v>
      </c>
      <c r="E104">
        <v>1353</v>
      </c>
      <c r="F104">
        <v>15.49</v>
      </c>
      <c r="G104">
        <v>14</v>
      </c>
      <c r="H104" s="1">
        <v>1.0274000000000001</v>
      </c>
      <c r="I104" t="s">
        <v>187</v>
      </c>
      <c r="J104" s="2">
        <v>45870</v>
      </c>
      <c r="K104" s="4">
        <v>46189</v>
      </c>
      <c r="L104" t="s">
        <v>18</v>
      </c>
      <c r="M104">
        <v>411</v>
      </c>
      <c r="N104" t="str">
        <f t="shared" si="2"/>
        <v>6 meses a 12 meses</v>
      </c>
      <c r="O104" s="3">
        <f t="shared" si="3"/>
        <v>10.633333333333333</v>
      </c>
    </row>
    <row r="105" spans="1:15" x14ac:dyDescent="0.3">
      <c r="A105" t="s">
        <v>33</v>
      </c>
      <c r="B105">
        <v>237</v>
      </c>
      <c r="C105" t="s">
        <v>188</v>
      </c>
      <c r="D105" t="s">
        <v>16</v>
      </c>
      <c r="E105">
        <v>977</v>
      </c>
      <c r="F105">
        <v>14.43</v>
      </c>
      <c r="G105">
        <v>14</v>
      </c>
      <c r="H105" s="1">
        <v>0.95699999999999996</v>
      </c>
      <c r="I105" t="s">
        <v>187</v>
      </c>
      <c r="J105" s="2">
        <v>45870</v>
      </c>
      <c r="K105" s="4">
        <v>46189</v>
      </c>
      <c r="L105" t="s">
        <v>18</v>
      </c>
      <c r="M105">
        <v>1883</v>
      </c>
      <c r="N105" t="str">
        <f t="shared" si="2"/>
        <v>6 meses a 12 meses</v>
      </c>
      <c r="O105" s="3">
        <f t="shared" si="3"/>
        <v>10.633333333333333</v>
      </c>
    </row>
    <row r="106" spans="1:15" x14ac:dyDescent="0.3">
      <c r="A106" t="s">
        <v>48</v>
      </c>
      <c r="B106">
        <v>267</v>
      </c>
      <c r="C106" t="s">
        <v>189</v>
      </c>
      <c r="D106" t="s">
        <v>16</v>
      </c>
      <c r="E106">
        <v>805</v>
      </c>
      <c r="F106">
        <v>13.78</v>
      </c>
      <c r="G106">
        <v>15</v>
      </c>
      <c r="H106" s="1">
        <v>0.91390000000000005</v>
      </c>
      <c r="I106" t="s">
        <v>190</v>
      </c>
      <c r="J106" s="2">
        <v>45814</v>
      </c>
      <c r="K106" s="4">
        <v>46189</v>
      </c>
      <c r="L106" t="s">
        <v>18</v>
      </c>
      <c r="M106">
        <v>852</v>
      </c>
      <c r="N106" t="str">
        <f t="shared" si="2"/>
        <v>1 año a 2 años</v>
      </c>
      <c r="O106" s="3">
        <f t="shared" si="3"/>
        <v>12.5</v>
      </c>
    </row>
    <row r="107" spans="1:15" x14ac:dyDescent="0.3">
      <c r="A107" t="s">
        <v>33</v>
      </c>
      <c r="B107">
        <v>233</v>
      </c>
      <c r="C107" t="s">
        <v>191</v>
      </c>
      <c r="D107" t="s">
        <v>16</v>
      </c>
      <c r="E107">
        <v>488</v>
      </c>
      <c r="F107">
        <v>12.39</v>
      </c>
      <c r="G107">
        <v>14</v>
      </c>
      <c r="H107" s="1">
        <v>0.82189999999999996</v>
      </c>
      <c r="I107" t="s">
        <v>192</v>
      </c>
      <c r="J107" s="2">
        <v>45812</v>
      </c>
      <c r="K107" s="4">
        <v>46189</v>
      </c>
      <c r="L107" t="s">
        <v>18</v>
      </c>
      <c r="M107">
        <v>476</v>
      </c>
      <c r="N107" t="str">
        <f t="shared" si="2"/>
        <v>1 año a 2 años</v>
      </c>
      <c r="O107" s="3">
        <f t="shared" si="3"/>
        <v>12.566666666666666</v>
      </c>
    </row>
    <row r="108" spans="1:15" x14ac:dyDescent="0.3">
      <c r="A108" t="s">
        <v>33</v>
      </c>
      <c r="B108">
        <v>232</v>
      </c>
      <c r="C108" t="s">
        <v>193</v>
      </c>
      <c r="D108" t="s">
        <v>16</v>
      </c>
      <c r="E108">
        <v>960</v>
      </c>
      <c r="F108">
        <v>12.9</v>
      </c>
      <c r="G108">
        <v>14</v>
      </c>
      <c r="H108" s="1">
        <v>0.85550000000000004</v>
      </c>
      <c r="I108" t="s">
        <v>194</v>
      </c>
      <c r="J108" s="2">
        <v>45811</v>
      </c>
      <c r="K108" s="4">
        <v>46189</v>
      </c>
      <c r="L108" t="s">
        <v>18</v>
      </c>
      <c r="M108">
        <v>11</v>
      </c>
      <c r="N108" t="str">
        <f t="shared" si="2"/>
        <v>1 año a 2 años</v>
      </c>
      <c r="O108" s="3">
        <f t="shared" si="3"/>
        <v>12.6</v>
      </c>
    </row>
    <row r="109" spans="1:15" x14ac:dyDescent="0.3">
      <c r="A109" t="s">
        <v>110</v>
      </c>
      <c r="B109">
        <v>323</v>
      </c>
      <c r="C109" t="s">
        <v>195</v>
      </c>
      <c r="D109" t="s">
        <v>39</v>
      </c>
      <c r="E109">
        <v>956</v>
      </c>
      <c r="F109">
        <v>10.39</v>
      </c>
      <c r="G109">
        <v>14</v>
      </c>
      <c r="H109" s="1">
        <v>0.68930000000000002</v>
      </c>
      <c r="I109" t="s">
        <v>196</v>
      </c>
      <c r="J109" s="2">
        <v>45810</v>
      </c>
      <c r="K109" s="4">
        <v>46189</v>
      </c>
      <c r="L109" t="s">
        <v>18</v>
      </c>
      <c r="M109">
        <v>4</v>
      </c>
      <c r="N109" t="str">
        <f t="shared" si="2"/>
        <v>1 año a 2 años</v>
      </c>
      <c r="O109" s="3">
        <f t="shared" si="3"/>
        <v>12.633333333333333</v>
      </c>
    </row>
    <row r="110" spans="1:15" x14ac:dyDescent="0.3">
      <c r="A110" t="s">
        <v>110</v>
      </c>
      <c r="B110">
        <v>322</v>
      </c>
      <c r="C110" t="s">
        <v>197</v>
      </c>
      <c r="D110" t="s">
        <v>16</v>
      </c>
      <c r="E110">
        <v>547</v>
      </c>
      <c r="F110">
        <v>12.34</v>
      </c>
      <c r="G110">
        <v>14</v>
      </c>
      <c r="H110" s="1">
        <v>0.81850000000000001</v>
      </c>
      <c r="I110" t="s">
        <v>198</v>
      </c>
      <c r="J110" s="2">
        <v>45805</v>
      </c>
      <c r="K110" s="4">
        <v>46189</v>
      </c>
      <c r="L110" t="s">
        <v>18</v>
      </c>
      <c r="M110">
        <v>132</v>
      </c>
      <c r="N110" t="str">
        <f t="shared" si="2"/>
        <v>1 año a 2 años</v>
      </c>
      <c r="O110" s="3">
        <f t="shared" si="3"/>
        <v>12.8</v>
      </c>
    </row>
    <row r="111" spans="1:15" x14ac:dyDescent="0.3">
      <c r="A111" t="s">
        <v>14</v>
      </c>
      <c r="B111">
        <v>186</v>
      </c>
      <c r="C111" t="s">
        <v>199</v>
      </c>
      <c r="D111" t="s">
        <v>43</v>
      </c>
      <c r="E111">
        <v>1299</v>
      </c>
      <c r="F111">
        <v>13.51</v>
      </c>
      <c r="G111">
        <v>14</v>
      </c>
      <c r="H111" s="1">
        <v>0.89639999999999997</v>
      </c>
      <c r="I111" t="s">
        <v>200</v>
      </c>
      <c r="J111" s="2">
        <v>45793</v>
      </c>
      <c r="K111" s="2">
        <v>45747</v>
      </c>
      <c r="L111" t="s">
        <v>18</v>
      </c>
      <c r="M111">
        <v>1001</v>
      </c>
      <c r="N111" t="str">
        <f t="shared" si="2"/>
        <v>0 a 3 meses</v>
      </c>
      <c r="O111" s="3">
        <v>0</v>
      </c>
    </row>
    <row r="112" spans="1:15" x14ac:dyDescent="0.3">
      <c r="A112" t="s">
        <v>48</v>
      </c>
      <c r="B112">
        <v>264</v>
      </c>
      <c r="C112" t="s">
        <v>201</v>
      </c>
      <c r="D112" t="s">
        <v>43</v>
      </c>
      <c r="E112">
        <v>901</v>
      </c>
      <c r="F112">
        <v>20.309999999999999</v>
      </c>
      <c r="G112">
        <v>15</v>
      </c>
      <c r="H112" s="1">
        <v>1.3469</v>
      </c>
      <c r="I112" t="s">
        <v>202</v>
      </c>
      <c r="J112" s="2">
        <v>45782</v>
      </c>
      <c r="K112" s="4">
        <v>46189</v>
      </c>
      <c r="L112" t="s">
        <v>18</v>
      </c>
      <c r="M112">
        <v>3219</v>
      </c>
      <c r="N112" t="str">
        <f t="shared" si="2"/>
        <v>1 año a 2 años</v>
      </c>
      <c r="O112" s="3">
        <f t="shared" si="3"/>
        <v>13.566666666666666</v>
      </c>
    </row>
    <row r="113" spans="1:15" x14ac:dyDescent="0.3">
      <c r="A113" t="s">
        <v>48</v>
      </c>
      <c r="B113">
        <v>260</v>
      </c>
      <c r="C113" t="s">
        <v>203</v>
      </c>
      <c r="D113" t="s">
        <v>25</v>
      </c>
      <c r="E113">
        <v>740</v>
      </c>
      <c r="F113">
        <v>12.75</v>
      </c>
      <c r="G113">
        <v>15</v>
      </c>
      <c r="H113" s="1">
        <v>0.84540000000000004</v>
      </c>
      <c r="I113" t="s">
        <v>204</v>
      </c>
      <c r="J113" s="2">
        <v>45776</v>
      </c>
      <c r="K113" s="4">
        <v>46189</v>
      </c>
      <c r="L113" t="s">
        <v>18</v>
      </c>
      <c r="M113">
        <v>84</v>
      </c>
      <c r="N113" t="str">
        <f t="shared" si="2"/>
        <v>1 año a 2 años</v>
      </c>
      <c r="O113" s="3">
        <f t="shared" si="3"/>
        <v>13.766666666666667</v>
      </c>
    </row>
    <row r="114" spans="1:15" x14ac:dyDescent="0.3">
      <c r="A114" t="s">
        <v>33</v>
      </c>
      <c r="B114">
        <v>228</v>
      </c>
      <c r="C114" t="s">
        <v>205</v>
      </c>
      <c r="D114" t="s">
        <v>43</v>
      </c>
      <c r="E114">
        <v>932</v>
      </c>
      <c r="F114">
        <v>12.33</v>
      </c>
      <c r="G114">
        <v>14</v>
      </c>
      <c r="H114" s="1">
        <v>0.81789999999999996</v>
      </c>
      <c r="I114" t="s">
        <v>204</v>
      </c>
      <c r="J114" s="2">
        <v>45776</v>
      </c>
      <c r="K114" s="4">
        <v>46189</v>
      </c>
      <c r="L114" t="s">
        <v>18</v>
      </c>
      <c r="M114">
        <v>769</v>
      </c>
      <c r="N114" t="str">
        <f t="shared" si="2"/>
        <v>1 año a 2 años</v>
      </c>
      <c r="O114" s="3">
        <f t="shared" si="3"/>
        <v>13.766666666666667</v>
      </c>
    </row>
    <row r="115" spans="1:15" x14ac:dyDescent="0.3">
      <c r="A115" t="s">
        <v>48</v>
      </c>
      <c r="B115">
        <v>259</v>
      </c>
      <c r="C115" t="s">
        <v>206</v>
      </c>
      <c r="D115" t="s">
        <v>16</v>
      </c>
      <c r="E115">
        <v>1103</v>
      </c>
      <c r="F115">
        <v>20.87</v>
      </c>
      <c r="G115">
        <v>15</v>
      </c>
      <c r="H115" s="1">
        <v>1.3838999999999999</v>
      </c>
      <c r="I115" t="s">
        <v>207</v>
      </c>
      <c r="J115" s="2">
        <v>45772</v>
      </c>
      <c r="K115" s="4">
        <v>46189</v>
      </c>
      <c r="L115" t="s">
        <v>18</v>
      </c>
      <c r="M115">
        <v>4057</v>
      </c>
      <c r="N115" t="str">
        <f t="shared" si="2"/>
        <v>1 año a 2 años</v>
      </c>
      <c r="O115" s="3">
        <f t="shared" si="3"/>
        <v>13.9</v>
      </c>
    </row>
    <row r="116" spans="1:15" x14ac:dyDescent="0.3">
      <c r="A116" t="s">
        <v>14</v>
      </c>
      <c r="B116">
        <v>181</v>
      </c>
      <c r="C116" t="s">
        <v>208</v>
      </c>
      <c r="D116" t="s">
        <v>16</v>
      </c>
      <c r="E116">
        <v>1167</v>
      </c>
      <c r="F116">
        <v>15.07</v>
      </c>
      <c r="G116">
        <v>14</v>
      </c>
      <c r="H116" s="1">
        <v>0.99980000000000002</v>
      </c>
      <c r="I116" t="s">
        <v>207</v>
      </c>
      <c r="J116" s="2">
        <v>45772</v>
      </c>
      <c r="K116" s="4">
        <v>46189</v>
      </c>
      <c r="L116" t="s">
        <v>18</v>
      </c>
      <c r="M116">
        <v>510</v>
      </c>
      <c r="N116" t="str">
        <f t="shared" si="2"/>
        <v>1 año a 2 años</v>
      </c>
      <c r="O116" s="3">
        <f t="shared" si="3"/>
        <v>13.9</v>
      </c>
    </row>
    <row r="117" spans="1:15" x14ac:dyDescent="0.3">
      <c r="A117" t="s">
        <v>21</v>
      </c>
      <c r="B117">
        <v>198</v>
      </c>
      <c r="C117" t="s">
        <v>209</v>
      </c>
      <c r="D117" t="s">
        <v>25</v>
      </c>
      <c r="E117">
        <v>1530</v>
      </c>
      <c r="F117">
        <v>13.98</v>
      </c>
      <c r="G117">
        <v>14</v>
      </c>
      <c r="H117" s="1">
        <v>0.92710000000000004</v>
      </c>
      <c r="I117" t="s">
        <v>210</v>
      </c>
      <c r="J117" s="2">
        <v>45748</v>
      </c>
      <c r="K117" s="4">
        <v>46189</v>
      </c>
      <c r="L117" t="s">
        <v>18</v>
      </c>
      <c r="M117">
        <v>1589</v>
      </c>
      <c r="N117" t="str">
        <f t="shared" si="2"/>
        <v>1 año a 2 años</v>
      </c>
      <c r="O117" s="3">
        <f t="shared" si="3"/>
        <v>14.7</v>
      </c>
    </row>
    <row r="118" spans="1:15" x14ac:dyDescent="0.3">
      <c r="A118" t="s">
        <v>110</v>
      </c>
      <c r="B118">
        <v>376</v>
      </c>
      <c r="C118" t="s">
        <v>211</v>
      </c>
      <c r="D118" t="s">
        <v>127</v>
      </c>
      <c r="E118">
        <v>2192</v>
      </c>
      <c r="F118">
        <v>14.45</v>
      </c>
      <c r="G118">
        <v>14</v>
      </c>
      <c r="H118" s="1">
        <v>0.9587</v>
      </c>
      <c r="I118" t="s">
        <v>212</v>
      </c>
      <c r="J118" s="2">
        <v>45717</v>
      </c>
      <c r="K118" s="2">
        <v>45716</v>
      </c>
      <c r="L118" t="s">
        <v>18</v>
      </c>
      <c r="M118">
        <v>1116</v>
      </c>
      <c r="N118" t="str">
        <f t="shared" si="2"/>
        <v>0 a 3 meses</v>
      </c>
      <c r="O118" s="3">
        <v>0</v>
      </c>
    </row>
    <row r="119" spans="1:15" x14ac:dyDescent="0.3">
      <c r="A119" t="s">
        <v>37</v>
      </c>
      <c r="B119">
        <v>387</v>
      </c>
      <c r="C119" t="s">
        <v>213</v>
      </c>
      <c r="D119" t="s">
        <v>25</v>
      </c>
      <c r="E119">
        <v>1158</v>
      </c>
      <c r="F119">
        <v>17.77</v>
      </c>
      <c r="G119">
        <v>14</v>
      </c>
      <c r="H119" s="1">
        <v>1.1786000000000001</v>
      </c>
      <c r="I119" t="s">
        <v>212</v>
      </c>
      <c r="J119" s="2">
        <v>45717</v>
      </c>
      <c r="K119" s="2">
        <v>45716</v>
      </c>
      <c r="L119" t="s">
        <v>18</v>
      </c>
      <c r="M119">
        <v>10</v>
      </c>
      <c r="N119" t="str">
        <f t="shared" si="2"/>
        <v>0 a 3 meses</v>
      </c>
      <c r="O119" s="3">
        <v>0</v>
      </c>
    </row>
    <row r="120" spans="1:15" x14ac:dyDescent="0.3">
      <c r="A120" t="s">
        <v>33</v>
      </c>
      <c r="B120">
        <v>62</v>
      </c>
      <c r="C120" t="s">
        <v>214</v>
      </c>
      <c r="D120" t="s">
        <v>43</v>
      </c>
      <c r="E120">
        <v>1762</v>
      </c>
      <c r="F120">
        <v>12.71</v>
      </c>
      <c r="G120">
        <v>14</v>
      </c>
      <c r="H120" s="1">
        <v>0.84289999999999998</v>
      </c>
      <c r="I120" t="s">
        <v>212</v>
      </c>
      <c r="J120" s="2">
        <v>45717</v>
      </c>
      <c r="K120" s="2">
        <v>45716</v>
      </c>
      <c r="L120" t="s">
        <v>18</v>
      </c>
      <c r="M120">
        <v>2100</v>
      </c>
      <c r="N120" t="str">
        <f t="shared" si="2"/>
        <v>0 a 3 meses</v>
      </c>
      <c r="O120" s="3">
        <v>0</v>
      </c>
    </row>
    <row r="121" spans="1:15" x14ac:dyDescent="0.3">
      <c r="A121" t="s">
        <v>37</v>
      </c>
      <c r="B121">
        <v>612</v>
      </c>
      <c r="C121" t="s">
        <v>215</v>
      </c>
      <c r="D121" t="s">
        <v>43</v>
      </c>
      <c r="E121">
        <v>1439</v>
      </c>
      <c r="F121">
        <v>15.23</v>
      </c>
      <c r="G121">
        <v>14</v>
      </c>
      <c r="H121" s="1">
        <v>1.0099</v>
      </c>
      <c r="I121" t="s">
        <v>216</v>
      </c>
      <c r="J121" s="2">
        <v>45714</v>
      </c>
      <c r="K121" s="4">
        <v>46189</v>
      </c>
      <c r="L121" t="s">
        <v>18</v>
      </c>
      <c r="M121">
        <v>32</v>
      </c>
      <c r="N121" t="str">
        <f t="shared" si="2"/>
        <v>1 año a 2 años</v>
      </c>
      <c r="O121" s="3">
        <f t="shared" si="3"/>
        <v>15.833333333333334</v>
      </c>
    </row>
    <row r="122" spans="1:15" x14ac:dyDescent="0.3">
      <c r="A122" t="s">
        <v>110</v>
      </c>
      <c r="B122">
        <v>321</v>
      </c>
      <c r="C122" t="s">
        <v>217</v>
      </c>
      <c r="D122" t="s">
        <v>43</v>
      </c>
      <c r="E122">
        <v>1355</v>
      </c>
      <c r="F122">
        <v>13.32</v>
      </c>
      <c r="G122">
        <v>14</v>
      </c>
      <c r="H122" s="1">
        <v>0.88349999999999995</v>
      </c>
      <c r="I122" t="s">
        <v>218</v>
      </c>
      <c r="J122" s="2">
        <v>45705</v>
      </c>
      <c r="K122" s="4">
        <v>46189</v>
      </c>
      <c r="L122" t="s">
        <v>18</v>
      </c>
      <c r="M122">
        <v>21</v>
      </c>
      <c r="N122" t="str">
        <f t="shared" si="2"/>
        <v>1 año a 2 años</v>
      </c>
      <c r="O122" s="3">
        <f t="shared" si="3"/>
        <v>16.133333333333333</v>
      </c>
    </row>
    <row r="123" spans="1:15" x14ac:dyDescent="0.3">
      <c r="A123" t="s">
        <v>105</v>
      </c>
      <c r="B123">
        <v>335</v>
      </c>
      <c r="C123" t="s">
        <v>219</v>
      </c>
      <c r="D123" t="s">
        <v>16</v>
      </c>
      <c r="E123">
        <v>1354</v>
      </c>
      <c r="F123">
        <v>13.41</v>
      </c>
      <c r="G123">
        <v>14</v>
      </c>
      <c r="H123" s="1">
        <v>0.8891</v>
      </c>
      <c r="I123" t="s">
        <v>220</v>
      </c>
      <c r="J123" s="2">
        <v>45691</v>
      </c>
      <c r="K123" s="4">
        <v>46189</v>
      </c>
      <c r="L123" t="s">
        <v>18</v>
      </c>
      <c r="M123">
        <v>1426</v>
      </c>
      <c r="N123" t="str">
        <f t="shared" si="2"/>
        <v>1 año a 2 años</v>
      </c>
      <c r="O123" s="3">
        <f t="shared" si="3"/>
        <v>16.600000000000001</v>
      </c>
    </row>
    <row r="124" spans="1:15" x14ac:dyDescent="0.3">
      <c r="A124" t="s">
        <v>26</v>
      </c>
      <c r="B124">
        <v>44</v>
      </c>
      <c r="C124" t="s">
        <v>221</v>
      </c>
      <c r="D124" t="s">
        <v>127</v>
      </c>
      <c r="E124">
        <v>1377</v>
      </c>
      <c r="F124">
        <v>9.74</v>
      </c>
      <c r="G124">
        <v>14</v>
      </c>
      <c r="H124" s="1">
        <v>0.64570000000000005</v>
      </c>
      <c r="I124" t="s">
        <v>222</v>
      </c>
      <c r="J124" s="2">
        <v>45658</v>
      </c>
      <c r="K124" s="4">
        <v>46189</v>
      </c>
      <c r="L124" t="s">
        <v>18</v>
      </c>
      <c r="M124">
        <v>397</v>
      </c>
      <c r="N124" t="str">
        <f t="shared" si="2"/>
        <v>1 año a 2 años</v>
      </c>
      <c r="O124" s="3">
        <f t="shared" si="3"/>
        <v>17.7</v>
      </c>
    </row>
    <row r="125" spans="1:15" x14ac:dyDescent="0.3">
      <c r="A125" t="s">
        <v>37</v>
      </c>
      <c r="B125">
        <v>599</v>
      </c>
      <c r="C125" t="s">
        <v>223</v>
      </c>
      <c r="D125" t="s">
        <v>25</v>
      </c>
      <c r="E125">
        <v>1046</v>
      </c>
      <c r="F125">
        <v>14.7</v>
      </c>
      <c r="G125">
        <v>14</v>
      </c>
      <c r="H125" s="1">
        <v>0.97470000000000001</v>
      </c>
      <c r="I125" t="s">
        <v>224</v>
      </c>
      <c r="J125" s="2">
        <v>45629</v>
      </c>
      <c r="K125" s="4">
        <v>46189</v>
      </c>
      <c r="L125" t="s">
        <v>18</v>
      </c>
      <c r="M125">
        <v>9</v>
      </c>
      <c r="N125" t="str">
        <f t="shared" si="2"/>
        <v>1 año a 2 años</v>
      </c>
      <c r="O125" s="3">
        <f t="shared" si="3"/>
        <v>18.666666666666668</v>
      </c>
    </row>
    <row r="126" spans="1:15" x14ac:dyDescent="0.3">
      <c r="A126" t="s">
        <v>110</v>
      </c>
      <c r="B126">
        <v>317</v>
      </c>
      <c r="C126" t="s">
        <v>225</v>
      </c>
      <c r="D126" t="s">
        <v>25</v>
      </c>
      <c r="E126">
        <v>1149</v>
      </c>
      <c r="F126">
        <v>12.92</v>
      </c>
      <c r="G126">
        <v>14</v>
      </c>
      <c r="H126" s="1">
        <v>0.85699999999999998</v>
      </c>
      <c r="I126" t="s">
        <v>226</v>
      </c>
      <c r="J126" s="2">
        <v>45625</v>
      </c>
      <c r="K126" s="4">
        <v>46189</v>
      </c>
      <c r="L126" t="s">
        <v>18</v>
      </c>
      <c r="M126">
        <v>1680</v>
      </c>
      <c r="N126" t="str">
        <f t="shared" si="2"/>
        <v>1 año a 2 años</v>
      </c>
      <c r="O126" s="3">
        <f t="shared" si="3"/>
        <v>18.8</v>
      </c>
    </row>
    <row r="127" spans="1:15" x14ac:dyDescent="0.3">
      <c r="A127" t="s">
        <v>110</v>
      </c>
      <c r="B127">
        <v>316</v>
      </c>
      <c r="C127" t="s">
        <v>227</v>
      </c>
      <c r="D127" t="s">
        <v>39</v>
      </c>
      <c r="E127">
        <v>688</v>
      </c>
      <c r="F127">
        <v>13</v>
      </c>
      <c r="G127">
        <v>14</v>
      </c>
      <c r="H127" s="1">
        <v>0.86229999999999996</v>
      </c>
      <c r="I127" t="s">
        <v>226</v>
      </c>
      <c r="J127" s="2">
        <v>45625</v>
      </c>
      <c r="K127" s="4">
        <v>46189</v>
      </c>
      <c r="L127" t="s">
        <v>18</v>
      </c>
      <c r="M127">
        <v>316</v>
      </c>
      <c r="N127" t="str">
        <f t="shared" si="2"/>
        <v>1 año a 2 años</v>
      </c>
      <c r="O127" s="3">
        <f t="shared" si="3"/>
        <v>18.8</v>
      </c>
    </row>
    <row r="128" spans="1:15" x14ac:dyDescent="0.3">
      <c r="A128" t="s">
        <v>21</v>
      </c>
      <c r="B128">
        <v>200</v>
      </c>
      <c r="C128" t="s">
        <v>228</v>
      </c>
      <c r="D128" t="s">
        <v>16</v>
      </c>
      <c r="E128">
        <v>1341</v>
      </c>
      <c r="F128">
        <v>10.130000000000001</v>
      </c>
      <c r="G128">
        <v>14</v>
      </c>
      <c r="H128" s="1">
        <v>0.67210000000000003</v>
      </c>
      <c r="I128" t="s">
        <v>229</v>
      </c>
      <c r="J128" s="2">
        <v>45621</v>
      </c>
      <c r="K128" s="4">
        <v>46189</v>
      </c>
      <c r="L128" t="s">
        <v>18</v>
      </c>
      <c r="M128">
        <v>101</v>
      </c>
      <c r="N128" t="str">
        <f t="shared" si="2"/>
        <v>1 año a 2 años</v>
      </c>
      <c r="O128" s="3">
        <f t="shared" si="3"/>
        <v>18.933333333333334</v>
      </c>
    </row>
    <row r="129" spans="1:15" x14ac:dyDescent="0.3">
      <c r="A129" t="s">
        <v>21</v>
      </c>
      <c r="B129">
        <v>185</v>
      </c>
      <c r="C129" t="s">
        <v>230</v>
      </c>
      <c r="D129" t="s">
        <v>25</v>
      </c>
      <c r="E129">
        <v>1534</v>
      </c>
      <c r="F129">
        <v>18.420000000000002</v>
      </c>
      <c r="G129">
        <v>14</v>
      </c>
      <c r="H129" s="1">
        <v>1.2219</v>
      </c>
      <c r="I129" t="s">
        <v>229</v>
      </c>
      <c r="J129" s="2">
        <v>45621</v>
      </c>
      <c r="K129" s="4">
        <v>46189</v>
      </c>
      <c r="L129" t="s">
        <v>18</v>
      </c>
      <c r="M129">
        <v>2092</v>
      </c>
      <c r="N129" t="str">
        <f t="shared" si="2"/>
        <v>1 año a 2 años</v>
      </c>
      <c r="O129" s="3">
        <f t="shared" si="3"/>
        <v>18.933333333333334</v>
      </c>
    </row>
    <row r="130" spans="1:15" x14ac:dyDescent="0.3">
      <c r="A130" t="s">
        <v>105</v>
      </c>
      <c r="B130">
        <v>7</v>
      </c>
      <c r="C130" t="s">
        <v>231</v>
      </c>
      <c r="D130" t="s">
        <v>25</v>
      </c>
      <c r="E130">
        <v>1118</v>
      </c>
      <c r="F130">
        <v>13.07</v>
      </c>
      <c r="G130">
        <v>14</v>
      </c>
      <c r="H130" s="1">
        <v>0.86719999999999997</v>
      </c>
      <c r="I130" t="s">
        <v>229</v>
      </c>
      <c r="J130" s="2">
        <v>45621</v>
      </c>
      <c r="K130" s="4">
        <v>46189</v>
      </c>
      <c r="L130" t="s">
        <v>18</v>
      </c>
      <c r="M130">
        <v>1707</v>
      </c>
      <c r="N130" t="str">
        <f t="shared" si="2"/>
        <v>1 año a 2 años</v>
      </c>
      <c r="O130" s="3">
        <f t="shared" si="3"/>
        <v>18.933333333333334</v>
      </c>
    </row>
    <row r="131" spans="1:15" x14ac:dyDescent="0.3">
      <c r="A131" t="s">
        <v>105</v>
      </c>
      <c r="B131">
        <v>331</v>
      </c>
      <c r="C131" t="s">
        <v>232</v>
      </c>
      <c r="D131" t="s">
        <v>16</v>
      </c>
      <c r="E131">
        <v>1072</v>
      </c>
      <c r="F131">
        <v>17.66</v>
      </c>
      <c r="G131">
        <v>14</v>
      </c>
      <c r="H131" s="1">
        <v>1.1714</v>
      </c>
      <c r="I131" t="s">
        <v>229</v>
      </c>
      <c r="J131" s="2">
        <v>45621</v>
      </c>
      <c r="K131" s="4">
        <v>46189</v>
      </c>
      <c r="L131" t="s">
        <v>18</v>
      </c>
      <c r="M131">
        <v>1160</v>
      </c>
      <c r="N131" t="str">
        <f t="shared" ref="N131:N194" si="4">+IF(O131&lt;=3,"0 a 3 meses",IF(O131&lt;=6,"3 meses a 6 meses",IF(O131&lt;=12,"6 meses a 12 meses",IF(O131&lt;=24,"1 año a 2 años","mayor a 2 años"))))</f>
        <v>1 año a 2 años</v>
      </c>
      <c r="O131" s="3">
        <f t="shared" ref="O131:O194" si="5">+(K131-J131)/30</f>
        <v>18.933333333333334</v>
      </c>
    </row>
    <row r="132" spans="1:15" x14ac:dyDescent="0.3">
      <c r="A132" t="s">
        <v>105</v>
      </c>
      <c r="B132">
        <v>329</v>
      </c>
      <c r="C132" t="s">
        <v>233</v>
      </c>
      <c r="D132" t="s">
        <v>25</v>
      </c>
      <c r="E132">
        <v>1397</v>
      </c>
      <c r="F132">
        <v>14.37</v>
      </c>
      <c r="G132">
        <v>14</v>
      </c>
      <c r="H132" s="1">
        <v>0.95309999999999995</v>
      </c>
      <c r="I132" t="s">
        <v>234</v>
      </c>
      <c r="J132" s="2">
        <v>45615</v>
      </c>
      <c r="K132" s="4">
        <v>46189</v>
      </c>
      <c r="L132" t="s">
        <v>18</v>
      </c>
      <c r="M132">
        <v>623</v>
      </c>
      <c r="N132" t="str">
        <f t="shared" si="4"/>
        <v>1 año a 2 años</v>
      </c>
      <c r="O132" s="3">
        <f t="shared" si="5"/>
        <v>19.133333333333333</v>
      </c>
    </row>
    <row r="133" spans="1:15" x14ac:dyDescent="0.3">
      <c r="A133" t="s">
        <v>14</v>
      </c>
      <c r="B133">
        <v>170</v>
      </c>
      <c r="C133" t="s">
        <v>235</v>
      </c>
      <c r="D133" t="s">
        <v>16</v>
      </c>
      <c r="E133">
        <v>196</v>
      </c>
      <c r="F133">
        <v>14.23</v>
      </c>
      <c r="G133">
        <v>14</v>
      </c>
      <c r="H133" s="1">
        <v>0.94359999999999999</v>
      </c>
      <c r="I133" t="s">
        <v>236</v>
      </c>
      <c r="J133" s="2">
        <v>45611</v>
      </c>
      <c r="K133" s="4">
        <v>46189</v>
      </c>
      <c r="L133" t="s">
        <v>99</v>
      </c>
      <c r="M133">
        <v>4</v>
      </c>
      <c r="N133" t="str">
        <f t="shared" si="4"/>
        <v>1 año a 2 años</v>
      </c>
      <c r="O133" s="3">
        <f t="shared" si="5"/>
        <v>19.266666666666666</v>
      </c>
    </row>
    <row r="134" spans="1:15" x14ac:dyDescent="0.3">
      <c r="A134" t="s">
        <v>37</v>
      </c>
      <c r="B134">
        <v>559</v>
      </c>
      <c r="C134" t="s">
        <v>237</v>
      </c>
      <c r="D134" t="s">
        <v>39</v>
      </c>
      <c r="E134">
        <v>1064</v>
      </c>
      <c r="F134">
        <v>18.600000000000001</v>
      </c>
      <c r="G134">
        <v>14</v>
      </c>
      <c r="H134" s="1">
        <v>1.2334000000000001</v>
      </c>
      <c r="I134" t="s">
        <v>238</v>
      </c>
      <c r="J134" s="2">
        <v>45594</v>
      </c>
      <c r="K134" s="4">
        <v>46189</v>
      </c>
      <c r="L134" t="s">
        <v>18</v>
      </c>
      <c r="M134">
        <v>17</v>
      </c>
      <c r="N134" t="str">
        <f t="shared" si="4"/>
        <v>1 año a 2 años</v>
      </c>
      <c r="O134" s="3">
        <f t="shared" si="5"/>
        <v>19.833333333333332</v>
      </c>
    </row>
    <row r="135" spans="1:15" x14ac:dyDescent="0.3">
      <c r="A135" t="s">
        <v>110</v>
      </c>
      <c r="B135">
        <v>301</v>
      </c>
      <c r="C135" t="s">
        <v>239</v>
      </c>
      <c r="D135" t="s">
        <v>16</v>
      </c>
      <c r="E135">
        <v>1467</v>
      </c>
      <c r="F135">
        <v>14.05</v>
      </c>
      <c r="G135">
        <v>14</v>
      </c>
      <c r="H135" s="1">
        <v>0.93169999999999997</v>
      </c>
      <c r="I135" t="s">
        <v>240</v>
      </c>
      <c r="J135" s="2">
        <v>45593</v>
      </c>
      <c r="K135" s="4">
        <v>46189</v>
      </c>
      <c r="L135" t="s">
        <v>18</v>
      </c>
      <c r="M135">
        <v>1501</v>
      </c>
      <c r="N135" t="str">
        <f t="shared" si="4"/>
        <v>1 año a 2 años</v>
      </c>
      <c r="O135" s="3">
        <f t="shared" si="5"/>
        <v>19.866666666666667</v>
      </c>
    </row>
    <row r="136" spans="1:15" x14ac:dyDescent="0.3">
      <c r="A136" t="s">
        <v>110</v>
      </c>
      <c r="B136">
        <v>300</v>
      </c>
      <c r="C136" t="s">
        <v>241</v>
      </c>
      <c r="D136" t="s">
        <v>43</v>
      </c>
      <c r="E136">
        <v>1102</v>
      </c>
      <c r="F136">
        <v>12.2</v>
      </c>
      <c r="G136">
        <v>14</v>
      </c>
      <c r="H136" s="1">
        <v>0.80920000000000003</v>
      </c>
      <c r="I136" t="s">
        <v>240</v>
      </c>
      <c r="J136" s="2">
        <v>45593</v>
      </c>
      <c r="K136" s="4">
        <v>46189</v>
      </c>
      <c r="L136" t="s">
        <v>18</v>
      </c>
      <c r="M136">
        <v>145</v>
      </c>
      <c r="N136" t="str">
        <f t="shared" si="4"/>
        <v>1 año a 2 años</v>
      </c>
      <c r="O136" s="3">
        <f t="shared" si="5"/>
        <v>19.866666666666667</v>
      </c>
    </row>
    <row r="137" spans="1:15" x14ac:dyDescent="0.3">
      <c r="A137" t="s">
        <v>33</v>
      </c>
      <c r="B137">
        <v>195</v>
      </c>
      <c r="C137" t="s">
        <v>242</v>
      </c>
      <c r="D137" t="s">
        <v>16</v>
      </c>
      <c r="E137">
        <v>930</v>
      </c>
      <c r="F137">
        <v>12.98</v>
      </c>
      <c r="G137">
        <v>14</v>
      </c>
      <c r="H137" s="1">
        <v>0.86070000000000002</v>
      </c>
      <c r="I137" t="s">
        <v>243</v>
      </c>
      <c r="J137" s="2">
        <v>45568</v>
      </c>
      <c r="K137" s="4">
        <v>46189</v>
      </c>
      <c r="L137" t="s">
        <v>18</v>
      </c>
      <c r="M137">
        <v>637</v>
      </c>
      <c r="N137" t="str">
        <f t="shared" si="4"/>
        <v>1 año a 2 años</v>
      </c>
      <c r="O137" s="3">
        <f t="shared" si="5"/>
        <v>20.7</v>
      </c>
    </row>
    <row r="138" spans="1:15" x14ac:dyDescent="0.3">
      <c r="A138" t="s">
        <v>48</v>
      </c>
      <c r="B138">
        <v>246</v>
      </c>
      <c r="C138" t="s">
        <v>244</v>
      </c>
      <c r="D138" t="s">
        <v>25</v>
      </c>
      <c r="E138">
        <v>908</v>
      </c>
      <c r="F138">
        <v>14.08</v>
      </c>
      <c r="G138">
        <v>15</v>
      </c>
      <c r="H138" s="1">
        <v>0.93359999999999999</v>
      </c>
      <c r="I138" t="s">
        <v>245</v>
      </c>
      <c r="J138" s="2">
        <v>45567</v>
      </c>
      <c r="K138" s="4">
        <v>46189</v>
      </c>
      <c r="L138" t="s">
        <v>18</v>
      </c>
      <c r="M138">
        <v>340</v>
      </c>
      <c r="N138" t="str">
        <f t="shared" si="4"/>
        <v>1 año a 2 años</v>
      </c>
      <c r="O138" s="3">
        <f t="shared" si="5"/>
        <v>20.733333333333334</v>
      </c>
    </row>
    <row r="139" spans="1:15" x14ac:dyDescent="0.3">
      <c r="A139" t="s">
        <v>105</v>
      </c>
      <c r="B139">
        <v>276</v>
      </c>
      <c r="C139" t="s">
        <v>246</v>
      </c>
      <c r="D139" t="s">
        <v>16</v>
      </c>
      <c r="E139">
        <v>1224</v>
      </c>
      <c r="F139">
        <v>14.04</v>
      </c>
      <c r="G139">
        <v>14</v>
      </c>
      <c r="H139" s="1">
        <v>0.93140000000000001</v>
      </c>
      <c r="I139" t="s">
        <v>247</v>
      </c>
      <c r="J139" s="2">
        <v>45540</v>
      </c>
      <c r="K139" s="4">
        <v>46189</v>
      </c>
      <c r="L139" t="s">
        <v>18</v>
      </c>
      <c r="M139">
        <v>829</v>
      </c>
      <c r="N139" t="str">
        <f t="shared" si="4"/>
        <v>1 año a 2 años</v>
      </c>
      <c r="O139" s="3">
        <f t="shared" si="5"/>
        <v>21.633333333333333</v>
      </c>
    </row>
    <row r="140" spans="1:15" x14ac:dyDescent="0.3">
      <c r="A140" t="s">
        <v>26</v>
      </c>
      <c r="B140">
        <v>142</v>
      </c>
      <c r="C140" t="s">
        <v>248</v>
      </c>
      <c r="D140" t="s">
        <v>127</v>
      </c>
      <c r="E140">
        <v>1306</v>
      </c>
      <c r="F140">
        <v>15.83</v>
      </c>
      <c r="G140">
        <v>14</v>
      </c>
      <c r="H140" s="1">
        <v>1.05</v>
      </c>
      <c r="I140" t="s">
        <v>249</v>
      </c>
      <c r="J140" s="2">
        <v>45536</v>
      </c>
      <c r="K140" s="4">
        <v>46189</v>
      </c>
      <c r="L140" t="s">
        <v>18</v>
      </c>
      <c r="M140">
        <v>1520</v>
      </c>
      <c r="N140" t="str">
        <f t="shared" si="4"/>
        <v>1 año a 2 años</v>
      </c>
      <c r="O140" s="3">
        <f t="shared" si="5"/>
        <v>21.766666666666666</v>
      </c>
    </row>
    <row r="141" spans="1:15" x14ac:dyDescent="0.3">
      <c r="A141" t="s">
        <v>33</v>
      </c>
      <c r="B141">
        <v>38</v>
      </c>
      <c r="C141" t="s">
        <v>250</v>
      </c>
      <c r="D141" t="s">
        <v>25</v>
      </c>
      <c r="E141">
        <v>1070</v>
      </c>
      <c r="F141">
        <v>13.44</v>
      </c>
      <c r="G141">
        <v>14</v>
      </c>
      <c r="H141" s="1">
        <v>0.89170000000000005</v>
      </c>
      <c r="I141" t="s">
        <v>249</v>
      </c>
      <c r="J141" s="2">
        <v>45536</v>
      </c>
      <c r="K141" s="4">
        <v>46189</v>
      </c>
      <c r="L141" t="s">
        <v>18</v>
      </c>
      <c r="M141">
        <v>419</v>
      </c>
      <c r="N141" t="str">
        <f t="shared" si="4"/>
        <v>1 año a 2 años</v>
      </c>
      <c r="O141" s="3">
        <f t="shared" si="5"/>
        <v>21.766666666666666</v>
      </c>
    </row>
    <row r="142" spans="1:15" x14ac:dyDescent="0.3">
      <c r="A142" t="s">
        <v>105</v>
      </c>
      <c r="B142">
        <v>254</v>
      </c>
      <c r="C142" t="s">
        <v>251</v>
      </c>
      <c r="D142" t="s">
        <v>16</v>
      </c>
      <c r="E142">
        <v>1801</v>
      </c>
      <c r="F142">
        <v>21.08</v>
      </c>
      <c r="G142">
        <v>14</v>
      </c>
      <c r="H142" s="1">
        <v>1.3983000000000001</v>
      </c>
      <c r="I142" t="s">
        <v>252</v>
      </c>
      <c r="J142" s="2">
        <v>45524</v>
      </c>
      <c r="K142" s="4">
        <v>46189</v>
      </c>
      <c r="L142" t="s">
        <v>18</v>
      </c>
      <c r="M142">
        <v>5322</v>
      </c>
      <c r="N142" t="str">
        <f t="shared" si="4"/>
        <v>1 año a 2 años</v>
      </c>
      <c r="O142" s="3">
        <f t="shared" si="5"/>
        <v>22.166666666666668</v>
      </c>
    </row>
    <row r="143" spans="1:15" x14ac:dyDescent="0.3">
      <c r="A143" t="s">
        <v>105</v>
      </c>
      <c r="B143">
        <v>253</v>
      </c>
      <c r="C143" t="s">
        <v>253</v>
      </c>
      <c r="D143" t="s">
        <v>43</v>
      </c>
      <c r="E143">
        <v>827</v>
      </c>
      <c r="F143">
        <v>12.84</v>
      </c>
      <c r="G143">
        <v>14</v>
      </c>
      <c r="H143" s="1">
        <v>0.85160000000000002</v>
      </c>
      <c r="I143" t="s">
        <v>254</v>
      </c>
      <c r="J143" s="2">
        <v>45519</v>
      </c>
      <c r="K143" s="4">
        <v>46189</v>
      </c>
      <c r="L143" t="s">
        <v>18</v>
      </c>
      <c r="M143">
        <v>7</v>
      </c>
      <c r="N143" t="str">
        <f t="shared" si="4"/>
        <v>1 año a 2 años</v>
      </c>
      <c r="O143" s="3">
        <f t="shared" si="5"/>
        <v>22.333333333333332</v>
      </c>
    </row>
    <row r="144" spans="1:15" x14ac:dyDescent="0.3">
      <c r="A144" t="s">
        <v>105</v>
      </c>
      <c r="B144">
        <v>252</v>
      </c>
      <c r="C144" t="s">
        <v>255</v>
      </c>
      <c r="D144" t="s">
        <v>43</v>
      </c>
      <c r="E144">
        <v>1167</v>
      </c>
      <c r="F144">
        <v>16.86</v>
      </c>
      <c r="G144">
        <v>14</v>
      </c>
      <c r="H144" s="1">
        <v>1.1183000000000001</v>
      </c>
      <c r="I144" t="s">
        <v>256</v>
      </c>
      <c r="J144" s="2">
        <v>45492</v>
      </c>
      <c r="K144" s="4">
        <v>46189</v>
      </c>
      <c r="L144" t="s">
        <v>18</v>
      </c>
      <c r="M144">
        <v>3422</v>
      </c>
      <c r="N144" t="str">
        <f t="shared" si="4"/>
        <v>1 año a 2 años</v>
      </c>
      <c r="O144" s="3">
        <f t="shared" si="5"/>
        <v>23.233333333333334</v>
      </c>
    </row>
    <row r="145" spans="1:15" x14ac:dyDescent="0.3">
      <c r="A145" t="s">
        <v>37</v>
      </c>
      <c r="B145">
        <v>682</v>
      </c>
      <c r="C145" t="s">
        <v>257</v>
      </c>
      <c r="D145" t="s">
        <v>25</v>
      </c>
      <c r="E145">
        <v>733</v>
      </c>
      <c r="F145">
        <v>14.95</v>
      </c>
      <c r="G145">
        <v>14</v>
      </c>
      <c r="H145" s="1">
        <v>0.99170000000000003</v>
      </c>
      <c r="I145" t="s">
        <v>256</v>
      </c>
      <c r="J145" s="2">
        <v>45492</v>
      </c>
      <c r="K145" s="4">
        <v>46189</v>
      </c>
      <c r="L145" t="s">
        <v>18</v>
      </c>
      <c r="M145">
        <v>17</v>
      </c>
      <c r="N145" t="str">
        <f t="shared" si="4"/>
        <v>1 año a 2 años</v>
      </c>
      <c r="O145" s="3">
        <f t="shared" si="5"/>
        <v>23.233333333333334</v>
      </c>
    </row>
    <row r="146" spans="1:15" x14ac:dyDescent="0.3">
      <c r="A146" t="s">
        <v>37</v>
      </c>
      <c r="B146">
        <v>680</v>
      </c>
      <c r="C146" t="s">
        <v>258</v>
      </c>
      <c r="D146" t="s">
        <v>16</v>
      </c>
      <c r="E146">
        <v>1052</v>
      </c>
      <c r="F146">
        <v>15.46</v>
      </c>
      <c r="G146">
        <v>14</v>
      </c>
      <c r="H146" s="1">
        <v>1.0251999999999999</v>
      </c>
      <c r="I146" t="s">
        <v>256</v>
      </c>
      <c r="J146" s="2">
        <v>45492</v>
      </c>
      <c r="K146" s="4">
        <v>46189</v>
      </c>
      <c r="L146" t="s">
        <v>18</v>
      </c>
      <c r="M146">
        <v>11</v>
      </c>
      <c r="N146" t="str">
        <f t="shared" si="4"/>
        <v>1 año a 2 años</v>
      </c>
      <c r="O146" s="3">
        <f t="shared" si="5"/>
        <v>23.233333333333334</v>
      </c>
    </row>
    <row r="147" spans="1:15" x14ac:dyDescent="0.3">
      <c r="A147" t="s">
        <v>37</v>
      </c>
      <c r="B147">
        <v>544</v>
      </c>
      <c r="C147" t="s">
        <v>259</v>
      </c>
      <c r="D147" t="s">
        <v>16</v>
      </c>
      <c r="E147">
        <v>997</v>
      </c>
      <c r="F147">
        <v>15.01</v>
      </c>
      <c r="G147">
        <v>14</v>
      </c>
      <c r="H147" s="1">
        <v>0.99529999999999996</v>
      </c>
      <c r="I147" t="s">
        <v>260</v>
      </c>
      <c r="J147" s="2">
        <v>45491</v>
      </c>
      <c r="K147" s="4">
        <v>46189</v>
      </c>
      <c r="L147" t="s">
        <v>18</v>
      </c>
      <c r="M147">
        <v>25</v>
      </c>
      <c r="N147" t="str">
        <f t="shared" si="4"/>
        <v>1 año a 2 años</v>
      </c>
      <c r="O147" s="3">
        <f t="shared" si="5"/>
        <v>23.266666666666666</v>
      </c>
    </row>
    <row r="148" spans="1:15" x14ac:dyDescent="0.3">
      <c r="A148" t="s">
        <v>33</v>
      </c>
      <c r="B148">
        <v>194</v>
      </c>
      <c r="C148" t="s">
        <v>261</v>
      </c>
      <c r="D148" t="s">
        <v>16</v>
      </c>
      <c r="E148">
        <v>739</v>
      </c>
      <c r="F148">
        <v>15.57</v>
      </c>
      <c r="G148">
        <v>14</v>
      </c>
      <c r="H148" s="1">
        <v>1.0327999999999999</v>
      </c>
      <c r="I148" t="s">
        <v>262</v>
      </c>
      <c r="J148" s="2">
        <v>45484</v>
      </c>
      <c r="K148" s="4">
        <v>46189</v>
      </c>
      <c r="L148" t="s">
        <v>18</v>
      </c>
      <c r="M148">
        <v>3</v>
      </c>
      <c r="N148" t="str">
        <f t="shared" si="4"/>
        <v>1 año a 2 años</v>
      </c>
      <c r="O148" s="3">
        <f t="shared" si="5"/>
        <v>23.5</v>
      </c>
    </row>
    <row r="149" spans="1:15" x14ac:dyDescent="0.3">
      <c r="A149" t="s">
        <v>105</v>
      </c>
      <c r="B149">
        <v>321</v>
      </c>
      <c r="C149" t="s">
        <v>263</v>
      </c>
      <c r="D149" t="s">
        <v>16</v>
      </c>
      <c r="E149">
        <v>1197</v>
      </c>
      <c r="F149">
        <v>15.52</v>
      </c>
      <c r="G149">
        <v>14</v>
      </c>
      <c r="H149" s="1">
        <v>1.0296000000000001</v>
      </c>
      <c r="I149" t="s">
        <v>264</v>
      </c>
      <c r="J149" s="2">
        <v>45482</v>
      </c>
      <c r="K149" s="4">
        <v>46189</v>
      </c>
      <c r="L149" t="s">
        <v>18</v>
      </c>
      <c r="M149">
        <v>1948</v>
      </c>
      <c r="N149" t="str">
        <f t="shared" si="4"/>
        <v>1 año a 2 años</v>
      </c>
      <c r="O149" s="3">
        <f t="shared" si="5"/>
        <v>23.566666666666666</v>
      </c>
    </row>
    <row r="150" spans="1:15" x14ac:dyDescent="0.3">
      <c r="A150" t="s">
        <v>105</v>
      </c>
      <c r="B150">
        <v>314</v>
      </c>
      <c r="C150" t="s">
        <v>265</v>
      </c>
      <c r="D150" t="s">
        <v>16</v>
      </c>
      <c r="E150">
        <v>1334</v>
      </c>
      <c r="F150">
        <v>12.48</v>
      </c>
      <c r="G150">
        <v>14</v>
      </c>
      <c r="H150" s="1">
        <v>0.82769999999999999</v>
      </c>
      <c r="I150" t="s">
        <v>266</v>
      </c>
      <c r="J150" s="2">
        <v>45478</v>
      </c>
      <c r="K150" s="4">
        <v>46189</v>
      </c>
      <c r="L150" t="s">
        <v>18</v>
      </c>
      <c r="M150">
        <v>7</v>
      </c>
      <c r="N150" t="str">
        <f t="shared" si="4"/>
        <v>1 año a 2 años</v>
      </c>
      <c r="O150" s="3">
        <f t="shared" si="5"/>
        <v>23.7</v>
      </c>
    </row>
    <row r="151" spans="1:15" x14ac:dyDescent="0.3">
      <c r="A151" t="s">
        <v>105</v>
      </c>
      <c r="B151">
        <v>250</v>
      </c>
      <c r="C151" t="s">
        <v>267</v>
      </c>
      <c r="D151" t="s">
        <v>39</v>
      </c>
      <c r="E151">
        <v>919</v>
      </c>
      <c r="F151">
        <v>10.96</v>
      </c>
      <c r="G151">
        <v>14</v>
      </c>
      <c r="H151" s="1">
        <v>0.72699999999999998</v>
      </c>
      <c r="I151" t="s">
        <v>268</v>
      </c>
      <c r="J151" s="2">
        <v>45475</v>
      </c>
      <c r="K151" s="4">
        <v>46189</v>
      </c>
      <c r="L151" t="s">
        <v>18</v>
      </c>
      <c r="M151">
        <v>323</v>
      </c>
      <c r="N151" t="str">
        <f t="shared" si="4"/>
        <v>1 año a 2 años</v>
      </c>
      <c r="O151" s="3">
        <f t="shared" si="5"/>
        <v>23.8</v>
      </c>
    </row>
    <row r="152" spans="1:15" x14ac:dyDescent="0.3">
      <c r="A152" t="s">
        <v>110</v>
      </c>
      <c r="B152">
        <v>299</v>
      </c>
      <c r="C152" t="s">
        <v>269</v>
      </c>
      <c r="D152" t="s">
        <v>43</v>
      </c>
      <c r="E152">
        <v>1695</v>
      </c>
      <c r="F152">
        <v>14.1</v>
      </c>
      <c r="G152">
        <v>14</v>
      </c>
      <c r="H152" s="1">
        <v>0.93540000000000001</v>
      </c>
      <c r="I152" t="s">
        <v>270</v>
      </c>
      <c r="J152" s="2">
        <v>45457</v>
      </c>
      <c r="K152" s="4">
        <v>46189</v>
      </c>
      <c r="L152" t="s">
        <v>18</v>
      </c>
      <c r="M152">
        <v>1393</v>
      </c>
      <c r="N152" t="str">
        <f t="shared" si="4"/>
        <v>mayor a 2 años</v>
      </c>
      <c r="O152" s="3">
        <f t="shared" si="5"/>
        <v>24.4</v>
      </c>
    </row>
    <row r="153" spans="1:15" x14ac:dyDescent="0.3">
      <c r="A153" t="s">
        <v>137</v>
      </c>
      <c r="B153">
        <v>131</v>
      </c>
      <c r="C153" t="s">
        <v>271</v>
      </c>
      <c r="D153" t="s">
        <v>25</v>
      </c>
      <c r="E153">
        <v>674</v>
      </c>
      <c r="F153">
        <v>14.25</v>
      </c>
      <c r="G153">
        <v>14</v>
      </c>
      <c r="H153" s="1">
        <v>0.94489999999999996</v>
      </c>
      <c r="I153" t="s">
        <v>272</v>
      </c>
      <c r="J153" s="2">
        <v>45444</v>
      </c>
      <c r="K153" s="4">
        <v>46189</v>
      </c>
      <c r="L153" t="s">
        <v>18</v>
      </c>
      <c r="M153">
        <v>1435</v>
      </c>
      <c r="N153" t="str">
        <f t="shared" si="4"/>
        <v>mayor a 2 años</v>
      </c>
      <c r="O153" s="3">
        <f t="shared" si="5"/>
        <v>24.833333333333332</v>
      </c>
    </row>
    <row r="154" spans="1:15" x14ac:dyDescent="0.3">
      <c r="A154" t="s">
        <v>110</v>
      </c>
      <c r="B154">
        <v>298</v>
      </c>
      <c r="C154" t="s">
        <v>273</v>
      </c>
      <c r="D154" t="s">
        <v>16</v>
      </c>
      <c r="E154">
        <v>725</v>
      </c>
      <c r="F154">
        <v>14.84</v>
      </c>
      <c r="G154">
        <v>14</v>
      </c>
      <c r="H154" s="1">
        <v>0.98450000000000004</v>
      </c>
      <c r="I154" t="s">
        <v>274</v>
      </c>
      <c r="J154" s="2">
        <v>45434</v>
      </c>
      <c r="K154" s="4">
        <v>46189</v>
      </c>
      <c r="L154" t="s">
        <v>18</v>
      </c>
      <c r="N154" t="str">
        <f t="shared" si="4"/>
        <v>mayor a 2 años</v>
      </c>
      <c r="O154" s="3">
        <f t="shared" si="5"/>
        <v>25.166666666666668</v>
      </c>
    </row>
    <row r="155" spans="1:15" x14ac:dyDescent="0.3">
      <c r="A155" t="s">
        <v>110</v>
      </c>
      <c r="B155">
        <v>294</v>
      </c>
      <c r="C155" t="s">
        <v>275</v>
      </c>
      <c r="D155" t="s">
        <v>16</v>
      </c>
      <c r="E155">
        <v>1232</v>
      </c>
      <c r="F155">
        <v>11.77</v>
      </c>
      <c r="G155">
        <v>14</v>
      </c>
      <c r="H155" s="1">
        <v>0.78039999999999998</v>
      </c>
      <c r="I155" t="s">
        <v>276</v>
      </c>
      <c r="J155" s="2">
        <v>45432</v>
      </c>
      <c r="K155" s="4">
        <v>46189</v>
      </c>
      <c r="L155" t="s">
        <v>18</v>
      </c>
      <c r="M155">
        <v>649</v>
      </c>
      <c r="N155" t="str">
        <f t="shared" si="4"/>
        <v>mayor a 2 años</v>
      </c>
      <c r="O155" s="3">
        <f t="shared" si="5"/>
        <v>25.233333333333334</v>
      </c>
    </row>
    <row r="156" spans="1:15" x14ac:dyDescent="0.3">
      <c r="A156" t="s">
        <v>110</v>
      </c>
      <c r="B156">
        <v>295</v>
      </c>
      <c r="C156" t="s">
        <v>277</v>
      </c>
      <c r="D156" t="s">
        <v>16</v>
      </c>
      <c r="E156">
        <v>1158</v>
      </c>
      <c r="F156">
        <v>13.87</v>
      </c>
      <c r="G156">
        <v>14</v>
      </c>
      <c r="H156" s="1">
        <v>0.91959999999999997</v>
      </c>
      <c r="I156" t="s">
        <v>276</v>
      </c>
      <c r="J156" s="2">
        <v>45432</v>
      </c>
      <c r="K156" s="4">
        <v>46189</v>
      </c>
      <c r="L156" t="s">
        <v>18</v>
      </c>
      <c r="M156">
        <v>6</v>
      </c>
      <c r="N156" t="str">
        <f t="shared" si="4"/>
        <v>mayor a 2 años</v>
      </c>
      <c r="O156" s="3">
        <f t="shared" si="5"/>
        <v>25.233333333333334</v>
      </c>
    </row>
    <row r="157" spans="1:15" x14ac:dyDescent="0.3">
      <c r="A157" t="s">
        <v>14</v>
      </c>
      <c r="B157">
        <v>168</v>
      </c>
      <c r="C157" t="s">
        <v>278</v>
      </c>
      <c r="D157" t="s">
        <v>39</v>
      </c>
      <c r="E157">
        <v>946</v>
      </c>
      <c r="F157">
        <v>14.95</v>
      </c>
      <c r="G157">
        <v>14</v>
      </c>
      <c r="H157" s="1">
        <v>0.99170000000000003</v>
      </c>
      <c r="I157" t="s">
        <v>276</v>
      </c>
      <c r="J157" s="2">
        <v>45432</v>
      </c>
      <c r="K157" s="4">
        <v>46189</v>
      </c>
      <c r="L157" t="s">
        <v>18</v>
      </c>
      <c r="M157">
        <v>2</v>
      </c>
      <c r="N157" t="str">
        <f t="shared" si="4"/>
        <v>mayor a 2 años</v>
      </c>
      <c r="O157" s="3">
        <f t="shared" si="5"/>
        <v>25.233333333333334</v>
      </c>
    </row>
    <row r="158" spans="1:15" x14ac:dyDescent="0.3">
      <c r="A158" t="s">
        <v>14</v>
      </c>
      <c r="B158">
        <v>165</v>
      </c>
      <c r="C158" t="s">
        <v>279</v>
      </c>
      <c r="D158" t="s">
        <v>39</v>
      </c>
      <c r="E158">
        <v>108</v>
      </c>
      <c r="F158">
        <v>12.91</v>
      </c>
      <c r="G158">
        <v>14</v>
      </c>
      <c r="H158" s="1">
        <v>0.85619999999999996</v>
      </c>
      <c r="I158" t="s">
        <v>280</v>
      </c>
      <c r="J158" s="2">
        <v>45422</v>
      </c>
      <c r="K158" s="4">
        <v>46189</v>
      </c>
      <c r="L158" t="s">
        <v>99</v>
      </c>
      <c r="M158">
        <v>2</v>
      </c>
      <c r="N158" t="str">
        <f t="shared" si="4"/>
        <v>mayor a 2 años</v>
      </c>
      <c r="O158" s="3">
        <f t="shared" si="5"/>
        <v>25.566666666666666</v>
      </c>
    </row>
    <row r="159" spans="1:15" x14ac:dyDescent="0.3">
      <c r="A159" t="s">
        <v>33</v>
      </c>
      <c r="B159">
        <v>6</v>
      </c>
      <c r="C159" t="s">
        <v>281</v>
      </c>
      <c r="D159" t="s">
        <v>16</v>
      </c>
      <c r="E159">
        <v>437</v>
      </c>
      <c r="F159">
        <v>12.67</v>
      </c>
      <c r="G159">
        <v>14</v>
      </c>
      <c r="H159" s="1">
        <v>0.84050000000000002</v>
      </c>
      <c r="I159" t="s">
        <v>282</v>
      </c>
      <c r="J159" s="2">
        <v>45421</v>
      </c>
      <c r="K159" s="4">
        <v>46189</v>
      </c>
      <c r="L159" t="s">
        <v>18</v>
      </c>
      <c r="M159">
        <v>314</v>
      </c>
      <c r="N159" t="str">
        <f t="shared" si="4"/>
        <v>mayor a 2 años</v>
      </c>
      <c r="O159" s="3">
        <f t="shared" si="5"/>
        <v>25.6</v>
      </c>
    </row>
    <row r="160" spans="1:15" x14ac:dyDescent="0.3">
      <c r="A160" t="s">
        <v>110</v>
      </c>
      <c r="B160">
        <v>138</v>
      </c>
      <c r="C160" t="s">
        <v>283</v>
      </c>
      <c r="D160" t="s">
        <v>16</v>
      </c>
      <c r="E160">
        <v>1236</v>
      </c>
      <c r="F160">
        <v>18.27</v>
      </c>
      <c r="G160">
        <v>14</v>
      </c>
      <c r="H160" s="1">
        <v>1.2115</v>
      </c>
      <c r="I160" t="s">
        <v>284</v>
      </c>
      <c r="J160" s="2">
        <v>45383</v>
      </c>
      <c r="K160" s="4">
        <v>46189</v>
      </c>
      <c r="L160" t="s">
        <v>18</v>
      </c>
      <c r="M160">
        <v>2286</v>
      </c>
      <c r="N160" t="str">
        <f t="shared" si="4"/>
        <v>mayor a 2 años</v>
      </c>
      <c r="O160" s="3">
        <f t="shared" si="5"/>
        <v>26.866666666666667</v>
      </c>
    </row>
    <row r="161" spans="1:15" x14ac:dyDescent="0.3">
      <c r="A161" t="s">
        <v>37</v>
      </c>
      <c r="B161">
        <v>515</v>
      </c>
      <c r="C161" t="s">
        <v>285</v>
      </c>
      <c r="D161" t="s">
        <v>43</v>
      </c>
      <c r="E161">
        <v>670</v>
      </c>
      <c r="F161">
        <v>17.39</v>
      </c>
      <c r="G161">
        <v>14</v>
      </c>
      <c r="H161" s="1">
        <v>1.1536999999999999</v>
      </c>
      <c r="I161" t="s">
        <v>286</v>
      </c>
      <c r="J161" s="2">
        <v>45366</v>
      </c>
      <c r="K161" s="4">
        <v>46189</v>
      </c>
      <c r="L161" t="s">
        <v>18</v>
      </c>
      <c r="M161">
        <v>6</v>
      </c>
      <c r="N161" t="str">
        <f t="shared" si="4"/>
        <v>mayor a 2 años</v>
      </c>
      <c r="O161" s="3">
        <f t="shared" si="5"/>
        <v>27.433333333333334</v>
      </c>
    </row>
    <row r="162" spans="1:15" x14ac:dyDescent="0.3">
      <c r="A162" t="s">
        <v>105</v>
      </c>
      <c r="B162">
        <v>244</v>
      </c>
      <c r="C162" t="s">
        <v>287</v>
      </c>
      <c r="D162" t="s">
        <v>16</v>
      </c>
      <c r="E162">
        <v>1205</v>
      </c>
      <c r="F162">
        <v>12.49</v>
      </c>
      <c r="G162">
        <v>14</v>
      </c>
      <c r="H162" s="1">
        <v>0.82830000000000004</v>
      </c>
      <c r="I162" t="s">
        <v>288</v>
      </c>
      <c r="J162" s="2">
        <v>45359</v>
      </c>
      <c r="K162" s="4">
        <v>46189</v>
      </c>
      <c r="L162" t="s">
        <v>18</v>
      </c>
      <c r="M162">
        <v>1864</v>
      </c>
      <c r="N162" t="str">
        <f t="shared" si="4"/>
        <v>mayor a 2 años</v>
      </c>
      <c r="O162" s="3">
        <f t="shared" si="5"/>
        <v>27.666666666666668</v>
      </c>
    </row>
    <row r="163" spans="1:15" x14ac:dyDescent="0.3">
      <c r="A163" t="s">
        <v>105</v>
      </c>
      <c r="B163">
        <v>242</v>
      </c>
      <c r="C163" t="s">
        <v>289</v>
      </c>
      <c r="D163" t="s">
        <v>127</v>
      </c>
      <c r="E163">
        <v>23</v>
      </c>
      <c r="F163">
        <v>9.59</v>
      </c>
      <c r="G163">
        <v>14</v>
      </c>
      <c r="H163" s="1">
        <v>0.63590000000000002</v>
      </c>
      <c r="I163" t="s">
        <v>288</v>
      </c>
      <c r="J163" s="2">
        <v>45359</v>
      </c>
      <c r="K163" s="4">
        <v>46189</v>
      </c>
      <c r="L163" t="s">
        <v>18</v>
      </c>
      <c r="N163" t="str">
        <f t="shared" si="4"/>
        <v>mayor a 2 años</v>
      </c>
      <c r="O163" s="3">
        <f t="shared" si="5"/>
        <v>27.666666666666668</v>
      </c>
    </row>
    <row r="164" spans="1:15" x14ac:dyDescent="0.3">
      <c r="A164" t="s">
        <v>105</v>
      </c>
      <c r="B164">
        <v>237</v>
      </c>
      <c r="C164" t="s">
        <v>290</v>
      </c>
      <c r="D164" t="s">
        <v>16</v>
      </c>
      <c r="E164">
        <v>1279</v>
      </c>
      <c r="F164">
        <v>12.56</v>
      </c>
      <c r="G164">
        <v>14</v>
      </c>
      <c r="H164" s="1">
        <v>0.83279999999999998</v>
      </c>
      <c r="I164" t="s">
        <v>291</v>
      </c>
      <c r="J164" s="2">
        <v>45342</v>
      </c>
      <c r="K164" s="4">
        <v>46189</v>
      </c>
      <c r="L164" t="s">
        <v>18</v>
      </c>
      <c r="M164">
        <v>15</v>
      </c>
      <c r="N164" t="str">
        <f t="shared" si="4"/>
        <v>mayor a 2 años</v>
      </c>
      <c r="O164" s="3">
        <f t="shared" si="5"/>
        <v>28.233333333333334</v>
      </c>
    </row>
    <row r="165" spans="1:15" x14ac:dyDescent="0.3">
      <c r="A165" t="s">
        <v>21</v>
      </c>
      <c r="B165">
        <v>160</v>
      </c>
      <c r="C165" t="s">
        <v>292</v>
      </c>
      <c r="D165" t="s">
        <v>16</v>
      </c>
      <c r="E165">
        <v>1863</v>
      </c>
      <c r="F165">
        <v>14.46</v>
      </c>
      <c r="G165">
        <v>14</v>
      </c>
      <c r="H165" s="1">
        <v>0.95930000000000004</v>
      </c>
      <c r="I165" t="s">
        <v>293</v>
      </c>
      <c r="J165" s="2">
        <v>45337</v>
      </c>
      <c r="K165" s="4">
        <v>46189</v>
      </c>
      <c r="L165" t="s">
        <v>18</v>
      </c>
      <c r="M165">
        <v>1617</v>
      </c>
      <c r="N165" t="str">
        <f t="shared" si="4"/>
        <v>mayor a 2 años</v>
      </c>
      <c r="O165" s="3">
        <f t="shared" si="5"/>
        <v>28.4</v>
      </c>
    </row>
    <row r="166" spans="1:15" x14ac:dyDescent="0.3">
      <c r="A166" t="s">
        <v>33</v>
      </c>
      <c r="B166">
        <v>189</v>
      </c>
      <c r="C166" t="s">
        <v>294</v>
      </c>
      <c r="D166" t="s">
        <v>16</v>
      </c>
      <c r="E166">
        <v>1016</v>
      </c>
      <c r="F166">
        <v>18.649999999999999</v>
      </c>
      <c r="G166">
        <v>14</v>
      </c>
      <c r="H166" s="1">
        <v>1.2373000000000001</v>
      </c>
      <c r="I166" t="s">
        <v>293</v>
      </c>
      <c r="J166" s="2">
        <v>45337</v>
      </c>
      <c r="K166" s="4">
        <v>46189</v>
      </c>
      <c r="L166" t="s">
        <v>18</v>
      </c>
      <c r="M166">
        <v>1978</v>
      </c>
      <c r="N166" t="str">
        <f t="shared" si="4"/>
        <v>mayor a 2 años</v>
      </c>
      <c r="O166" s="3">
        <f t="shared" si="5"/>
        <v>28.4</v>
      </c>
    </row>
    <row r="167" spans="1:15" x14ac:dyDescent="0.3">
      <c r="A167" t="s">
        <v>14</v>
      </c>
      <c r="B167">
        <v>159</v>
      </c>
      <c r="C167" t="s">
        <v>295</v>
      </c>
      <c r="D167" t="s">
        <v>43</v>
      </c>
      <c r="E167">
        <v>1194</v>
      </c>
      <c r="F167">
        <v>13.16</v>
      </c>
      <c r="G167">
        <v>14</v>
      </c>
      <c r="H167" s="1">
        <v>0.87290000000000001</v>
      </c>
      <c r="I167" t="s">
        <v>296</v>
      </c>
      <c r="J167" s="2">
        <v>45330</v>
      </c>
      <c r="K167" s="4">
        <v>46189</v>
      </c>
      <c r="L167" t="s">
        <v>18</v>
      </c>
      <c r="M167">
        <v>813</v>
      </c>
      <c r="N167" t="str">
        <f t="shared" si="4"/>
        <v>mayor a 2 años</v>
      </c>
      <c r="O167" s="3">
        <f t="shared" si="5"/>
        <v>28.633333333333333</v>
      </c>
    </row>
    <row r="168" spans="1:15" x14ac:dyDescent="0.3">
      <c r="A168" t="s">
        <v>14</v>
      </c>
      <c r="B168">
        <v>160</v>
      </c>
      <c r="C168" t="s">
        <v>297</v>
      </c>
      <c r="D168" t="s">
        <v>16</v>
      </c>
      <c r="E168">
        <v>1533</v>
      </c>
      <c r="F168">
        <v>14</v>
      </c>
      <c r="G168">
        <v>14</v>
      </c>
      <c r="H168" s="1">
        <v>0.92869999999999997</v>
      </c>
      <c r="I168" t="s">
        <v>296</v>
      </c>
      <c r="J168" s="2">
        <v>45330</v>
      </c>
      <c r="K168" s="4">
        <v>46189</v>
      </c>
      <c r="L168" t="s">
        <v>18</v>
      </c>
      <c r="M168">
        <v>1078</v>
      </c>
      <c r="N168" t="str">
        <f t="shared" si="4"/>
        <v>mayor a 2 años</v>
      </c>
      <c r="O168" s="3">
        <f t="shared" si="5"/>
        <v>28.633333333333333</v>
      </c>
    </row>
    <row r="169" spans="1:15" x14ac:dyDescent="0.3">
      <c r="A169" t="s">
        <v>14</v>
      </c>
      <c r="B169">
        <v>161</v>
      </c>
      <c r="C169" t="s">
        <v>298</v>
      </c>
      <c r="D169" t="s">
        <v>16</v>
      </c>
      <c r="E169">
        <v>288</v>
      </c>
      <c r="F169">
        <v>16.98</v>
      </c>
      <c r="G169">
        <v>14</v>
      </c>
      <c r="H169" s="1">
        <v>1.1261000000000001</v>
      </c>
      <c r="I169" t="s">
        <v>296</v>
      </c>
      <c r="J169" s="2">
        <v>45330</v>
      </c>
      <c r="K169" s="4">
        <v>46189</v>
      </c>
      <c r="L169" t="s">
        <v>99</v>
      </c>
      <c r="M169">
        <v>699</v>
      </c>
      <c r="N169" t="str">
        <f t="shared" si="4"/>
        <v>mayor a 2 años</v>
      </c>
      <c r="O169" s="3">
        <f t="shared" si="5"/>
        <v>28.633333333333333</v>
      </c>
    </row>
    <row r="170" spans="1:15" x14ac:dyDescent="0.3">
      <c r="A170" t="s">
        <v>48</v>
      </c>
      <c r="B170">
        <v>236</v>
      </c>
      <c r="C170" t="s">
        <v>299</v>
      </c>
      <c r="D170" t="s">
        <v>16</v>
      </c>
      <c r="E170">
        <v>959</v>
      </c>
      <c r="F170">
        <v>13.49</v>
      </c>
      <c r="G170">
        <v>15</v>
      </c>
      <c r="H170" s="1">
        <v>0.89500000000000002</v>
      </c>
      <c r="I170" t="s">
        <v>300</v>
      </c>
      <c r="J170" s="2">
        <v>45321</v>
      </c>
      <c r="K170" s="4">
        <v>46189</v>
      </c>
      <c r="L170" t="s">
        <v>99</v>
      </c>
      <c r="N170" t="str">
        <f t="shared" si="4"/>
        <v>mayor a 2 años</v>
      </c>
      <c r="O170" s="3">
        <f t="shared" si="5"/>
        <v>28.933333333333334</v>
      </c>
    </row>
    <row r="171" spans="1:15" x14ac:dyDescent="0.3">
      <c r="A171" t="s">
        <v>105</v>
      </c>
      <c r="B171">
        <v>316</v>
      </c>
      <c r="C171" t="s">
        <v>301</v>
      </c>
      <c r="D171" t="s">
        <v>39</v>
      </c>
      <c r="E171">
        <v>787</v>
      </c>
      <c r="F171">
        <v>13.84</v>
      </c>
      <c r="G171">
        <v>14</v>
      </c>
      <c r="H171" s="1">
        <v>0.91820000000000002</v>
      </c>
      <c r="I171" t="s">
        <v>302</v>
      </c>
      <c r="J171" s="2">
        <v>45310</v>
      </c>
      <c r="K171" s="4">
        <v>46189</v>
      </c>
      <c r="L171" t="s">
        <v>18</v>
      </c>
      <c r="M171">
        <v>12</v>
      </c>
      <c r="N171" t="str">
        <f t="shared" si="4"/>
        <v>mayor a 2 años</v>
      </c>
      <c r="O171" s="3">
        <f t="shared" si="5"/>
        <v>29.3</v>
      </c>
    </row>
    <row r="172" spans="1:15" x14ac:dyDescent="0.3">
      <c r="A172" t="s">
        <v>48</v>
      </c>
      <c r="B172">
        <v>235</v>
      </c>
      <c r="C172" t="s">
        <v>303</v>
      </c>
      <c r="D172" t="s">
        <v>16</v>
      </c>
      <c r="E172">
        <v>1138</v>
      </c>
      <c r="F172">
        <v>13.74</v>
      </c>
      <c r="G172">
        <v>15</v>
      </c>
      <c r="H172" s="1">
        <v>0.91110000000000002</v>
      </c>
      <c r="I172" t="s">
        <v>304</v>
      </c>
      <c r="J172" s="2">
        <v>45309</v>
      </c>
      <c r="K172" s="4">
        <v>46189</v>
      </c>
      <c r="L172" t="s">
        <v>99</v>
      </c>
      <c r="M172">
        <v>1151</v>
      </c>
      <c r="N172" t="str">
        <f t="shared" si="4"/>
        <v>mayor a 2 años</v>
      </c>
      <c r="O172" s="3">
        <f t="shared" si="5"/>
        <v>29.333333333333332</v>
      </c>
    </row>
    <row r="173" spans="1:15" x14ac:dyDescent="0.3">
      <c r="A173" t="s">
        <v>110</v>
      </c>
      <c r="B173">
        <v>281</v>
      </c>
      <c r="C173" t="s">
        <v>305</v>
      </c>
      <c r="D173" t="s">
        <v>43</v>
      </c>
      <c r="E173">
        <v>1133</v>
      </c>
      <c r="F173">
        <v>15.77</v>
      </c>
      <c r="G173">
        <v>14</v>
      </c>
      <c r="H173" s="1">
        <v>1.0463</v>
      </c>
      <c r="I173" t="s">
        <v>306</v>
      </c>
      <c r="J173" s="2">
        <v>45308</v>
      </c>
      <c r="K173" s="4">
        <v>46189</v>
      </c>
      <c r="L173" t="s">
        <v>18</v>
      </c>
      <c r="M173">
        <v>2036</v>
      </c>
      <c r="N173" t="str">
        <f t="shared" si="4"/>
        <v>mayor a 2 años</v>
      </c>
      <c r="O173" s="3">
        <f t="shared" si="5"/>
        <v>29.366666666666667</v>
      </c>
    </row>
    <row r="174" spans="1:15" x14ac:dyDescent="0.3">
      <c r="A174" t="s">
        <v>137</v>
      </c>
      <c r="B174">
        <v>218</v>
      </c>
      <c r="C174" t="s">
        <v>307</v>
      </c>
      <c r="D174" t="s">
        <v>16</v>
      </c>
      <c r="E174">
        <v>1104</v>
      </c>
      <c r="F174">
        <v>16.71</v>
      </c>
      <c r="G174">
        <v>14</v>
      </c>
      <c r="H174" s="1">
        <v>1.1086</v>
      </c>
      <c r="I174" t="s">
        <v>308</v>
      </c>
      <c r="J174" s="2">
        <v>45307</v>
      </c>
      <c r="K174" s="4">
        <v>46189</v>
      </c>
      <c r="L174" t="s">
        <v>18</v>
      </c>
      <c r="M174">
        <v>2227</v>
      </c>
      <c r="N174" t="str">
        <f t="shared" si="4"/>
        <v>mayor a 2 años</v>
      </c>
      <c r="O174" s="3">
        <f t="shared" si="5"/>
        <v>29.4</v>
      </c>
    </row>
    <row r="175" spans="1:15" x14ac:dyDescent="0.3">
      <c r="A175" t="s">
        <v>14</v>
      </c>
      <c r="B175">
        <v>156</v>
      </c>
      <c r="C175" t="s">
        <v>309</v>
      </c>
      <c r="D175" t="s">
        <v>43</v>
      </c>
      <c r="E175">
        <v>272</v>
      </c>
      <c r="F175">
        <v>31.65</v>
      </c>
      <c r="G175">
        <v>14</v>
      </c>
      <c r="H175" s="1">
        <v>2.0990000000000002</v>
      </c>
      <c r="I175" t="s">
        <v>310</v>
      </c>
      <c r="J175" s="2">
        <v>45303</v>
      </c>
      <c r="K175" s="4">
        <v>46189</v>
      </c>
      <c r="L175" t="s">
        <v>99</v>
      </c>
      <c r="M175">
        <v>1661</v>
      </c>
      <c r="N175" t="str">
        <f t="shared" si="4"/>
        <v>mayor a 2 años</v>
      </c>
      <c r="O175" s="3">
        <f t="shared" si="5"/>
        <v>29.533333333333335</v>
      </c>
    </row>
    <row r="176" spans="1:15" x14ac:dyDescent="0.3">
      <c r="A176" t="s">
        <v>33</v>
      </c>
      <c r="B176">
        <v>186</v>
      </c>
      <c r="C176" t="s">
        <v>311</v>
      </c>
      <c r="D176" t="s">
        <v>16</v>
      </c>
      <c r="E176">
        <v>596</v>
      </c>
      <c r="F176">
        <v>12.36</v>
      </c>
      <c r="G176">
        <v>14</v>
      </c>
      <c r="H176" s="1">
        <v>0.81979999999999997</v>
      </c>
      <c r="I176" t="s">
        <v>312</v>
      </c>
      <c r="J176" s="2">
        <v>45302</v>
      </c>
      <c r="K176" s="4">
        <v>46189</v>
      </c>
      <c r="L176" t="s">
        <v>18</v>
      </c>
      <c r="M176">
        <v>16</v>
      </c>
      <c r="N176" t="str">
        <f t="shared" si="4"/>
        <v>mayor a 2 años</v>
      </c>
      <c r="O176" s="3">
        <f t="shared" si="5"/>
        <v>29.566666666666666</v>
      </c>
    </row>
    <row r="177" spans="1:15" x14ac:dyDescent="0.3">
      <c r="A177" t="s">
        <v>37</v>
      </c>
      <c r="B177">
        <v>361</v>
      </c>
      <c r="C177" t="s">
        <v>313</v>
      </c>
      <c r="D177" t="s">
        <v>127</v>
      </c>
      <c r="E177">
        <v>2223</v>
      </c>
      <c r="F177">
        <v>14.63</v>
      </c>
      <c r="G177">
        <v>14</v>
      </c>
      <c r="H177" s="1">
        <v>0.97060000000000002</v>
      </c>
      <c r="I177" t="s">
        <v>314</v>
      </c>
      <c r="J177" s="2">
        <v>45261</v>
      </c>
      <c r="K177" s="4">
        <v>46189</v>
      </c>
      <c r="L177" t="s">
        <v>18</v>
      </c>
      <c r="M177">
        <v>24</v>
      </c>
      <c r="N177" t="str">
        <f t="shared" si="4"/>
        <v>mayor a 2 años</v>
      </c>
      <c r="O177" s="3">
        <f t="shared" si="5"/>
        <v>30.933333333333334</v>
      </c>
    </row>
    <row r="178" spans="1:15" x14ac:dyDescent="0.3">
      <c r="A178" t="s">
        <v>48</v>
      </c>
      <c r="B178">
        <v>222</v>
      </c>
      <c r="C178" t="s">
        <v>315</v>
      </c>
      <c r="D178" t="s">
        <v>43</v>
      </c>
      <c r="E178">
        <v>1085</v>
      </c>
      <c r="F178">
        <v>16.39</v>
      </c>
      <c r="G178">
        <v>15</v>
      </c>
      <c r="H178" s="1">
        <v>1.0873999999999999</v>
      </c>
      <c r="I178" t="s">
        <v>316</v>
      </c>
      <c r="J178" s="2">
        <v>45238</v>
      </c>
      <c r="K178" s="4">
        <v>46189</v>
      </c>
      <c r="L178" t="s">
        <v>18</v>
      </c>
      <c r="M178">
        <v>2297</v>
      </c>
      <c r="N178" t="str">
        <f t="shared" si="4"/>
        <v>mayor a 2 años</v>
      </c>
      <c r="O178" s="3">
        <f t="shared" si="5"/>
        <v>31.7</v>
      </c>
    </row>
    <row r="179" spans="1:15" x14ac:dyDescent="0.3">
      <c r="A179" t="s">
        <v>26</v>
      </c>
      <c r="B179">
        <v>151</v>
      </c>
      <c r="C179" t="s">
        <v>317</v>
      </c>
      <c r="D179" t="s">
        <v>16</v>
      </c>
      <c r="E179">
        <v>937</v>
      </c>
      <c r="F179">
        <v>11.86</v>
      </c>
      <c r="G179">
        <v>14</v>
      </c>
      <c r="H179" s="1">
        <v>0.78690000000000004</v>
      </c>
      <c r="I179" t="s">
        <v>318</v>
      </c>
      <c r="J179" s="2">
        <v>45236</v>
      </c>
      <c r="K179" s="4">
        <v>46189</v>
      </c>
      <c r="L179" t="s">
        <v>18</v>
      </c>
      <c r="M179">
        <v>22</v>
      </c>
      <c r="N179" t="str">
        <f t="shared" si="4"/>
        <v>mayor a 2 años</v>
      </c>
      <c r="O179" s="3">
        <f t="shared" si="5"/>
        <v>31.766666666666666</v>
      </c>
    </row>
    <row r="180" spans="1:15" x14ac:dyDescent="0.3">
      <c r="A180" t="s">
        <v>137</v>
      </c>
      <c r="B180">
        <v>213</v>
      </c>
      <c r="C180" t="s">
        <v>319</v>
      </c>
      <c r="D180" t="s">
        <v>43</v>
      </c>
      <c r="E180">
        <v>828</v>
      </c>
      <c r="F180">
        <v>14.81</v>
      </c>
      <c r="G180">
        <v>14</v>
      </c>
      <c r="H180" s="1">
        <v>0.98219999999999996</v>
      </c>
      <c r="I180" t="s">
        <v>318</v>
      </c>
      <c r="J180" s="2">
        <v>45236</v>
      </c>
      <c r="K180" s="4">
        <v>46189</v>
      </c>
      <c r="L180" t="s">
        <v>18</v>
      </c>
      <c r="M180">
        <v>513</v>
      </c>
      <c r="N180" t="str">
        <f t="shared" si="4"/>
        <v>mayor a 2 años</v>
      </c>
      <c r="O180" s="3">
        <f t="shared" si="5"/>
        <v>31.766666666666666</v>
      </c>
    </row>
    <row r="181" spans="1:15" x14ac:dyDescent="0.3">
      <c r="A181" t="s">
        <v>26</v>
      </c>
      <c r="B181">
        <v>148</v>
      </c>
      <c r="C181" t="s">
        <v>320</v>
      </c>
      <c r="D181" t="s">
        <v>16</v>
      </c>
      <c r="E181">
        <v>956</v>
      </c>
      <c r="F181">
        <v>13.62</v>
      </c>
      <c r="G181">
        <v>14</v>
      </c>
      <c r="H181" s="1">
        <v>0.9032</v>
      </c>
      <c r="I181" t="s">
        <v>321</v>
      </c>
      <c r="J181" s="2">
        <v>45217</v>
      </c>
      <c r="K181" s="4">
        <v>46189</v>
      </c>
      <c r="L181" t="s">
        <v>18</v>
      </c>
      <c r="M181">
        <v>809</v>
      </c>
      <c r="N181" t="str">
        <f t="shared" si="4"/>
        <v>mayor a 2 años</v>
      </c>
      <c r="O181" s="3">
        <f t="shared" si="5"/>
        <v>32.4</v>
      </c>
    </row>
    <row r="182" spans="1:15" x14ac:dyDescent="0.3">
      <c r="A182" t="s">
        <v>105</v>
      </c>
      <c r="B182">
        <v>4</v>
      </c>
      <c r="C182" t="s">
        <v>322</v>
      </c>
      <c r="D182" t="s">
        <v>16</v>
      </c>
      <c r="E182">
        <v>1347</v>
      </c>
      <c r="F182">
        <v>29.2</v>
      </c>
      <c r="G182">
        <v>14</v>
      </c>
      <c r="H182" s="1">
        <v>1.9369000000000001</v>
      </c>
      <c r="I182" t="s">
        <v>323</v>
      </c>
      <c r="J182" s="2">
        <v>45212</v>
      </c>
      <c r="K182" s="4">
        <v>46189</v>
      </c>
      <c r="L182" t="s">
        <v>18</v>
      </c>
      <c r="M182">
        <v>4550</v>
      </c>
      <c r="N182" t="str">
        <f t="shared" si="4"/>
        <v>mayor a 2 años</v>
      </c>
      <c r="O182" s="3">
        <f t="shared" si="5"/>
        <v>32.56666666666667</v>
      </c>
    </row>
    <row r="183" spans="1:15" x14ac:dyDescent="0.3">
      <c r="A183" t="s">
        <v>37</v>
      </c>
      <c r="B183">
        <v>184</v>
      </c>
      <c r="C183" t="s">
        <v>324</v>
      </c>
      <c r="D183" t="s">
        <v>127</v>
      </c>
      <c r="E183">
        <v>2480</v>
      </c>
      <c r="F183">
        <v>14.74</v>
      </c>
      <c r="G183">
        <v>14</v>
      </c>
      <c r="H183" s="1">
        <v>0.97770000000000001</v>
      </c>
      <c r="I183" t="s">
        <v>325</v>
      </c>
      <c r="J183" s="2">
        <v>45200</v>
      </c>
      <c r="K183" s="4">
        <v>46189</v>
      </c>
      <c r="L183" t="s">
        <v>18</v>
      </c>
      <c r="M183">
        <v>33</v>
      </c>
      <c r="N183" t="str">
        <f t="shared" si="4"/>
        <v>mayor a 2 años</v>
      </c>
      <c r="O183" s="3">
        <f t="shared" si="5"/>
        <v>32.966666666666669</v>
      </c>
    </row>
    <row r="184" spans="1:15" x14ac:dyDescent="0.3">
      <c r="A184" t="s">
        <v>48</v>
      </c>
      <c r="B184">
        <v>220</v>
      </c>
      <c r="C184" t="s">
        <v>326</v>
      </c>
      <c r="D184" t="s">
        <v>43</v>
      </c>
      <c r="E184">
        <v>1004</v>
      </c>
      <c r="F184">
        <v>13.95</v>
      </c>
      <c r="G184">
        <v>15</v>
      </c>
      <c r="H184" s="1">
        <v>0.92510000000000003</v>
      </c>
      <c r="I184" t="s">
        <v>327</v>
      </c>
      <c r="J184" s="2">
        <v>45195</v>
      </c>
      <c r="K184" s="4">
        <v>46189</v>
      </c>
      <c r="L184" t="s">
        <v>18</v>
      </c>
      <c r="M184">
        <v>609</v>
      </c>
      <c r="N184" t="str">
        <f t="shared" si="4"/>
        <v>mayor a 2 años</v>
      </c>
      <c r="O184" s="3">
        <f t="shared" si="5"/>
        <v>33.133333333333333</v>
      </c>
    </row>
    <row r="185" spans="1:15" x14ac:dyDescent="0.3">
      <c r="A185" t="s">
        <v>26</v>
      </c>
      <c r="B185">
        <v>181</v>
      </c>
      <c r="C185" t="s">
        <v>328</v>
      </c>
      <c r="D185" t="s">
        <v>43</v>
      </c>
      <c r="E185">
        <v>734</v>
      </c>
      <c r="F185">
        <v>11.06</v>
      </c>
      <c r="G185">
        <v>14</v>
      </c>
      <c r="H185" s="1">
        <v>0.73360000000000003</v>
      </c>
      <c r="I185" t="s">
        <v>329</v>
      </c>
      <c r="J185" s="2">
        <v>45184</v>
      </c>
      <c r="K185" s="4">
        <v>46189</v>
      </c>
      <c r="L185" t="s">
        <v>18</v>
      </c>
      <c r="M185">
        <v>411</v>
      </c>
      <c r="N185" t="str">
        <f t="shared" si="4"/>
        <v>mayor a 2 años</v>
      </c>
      <c r="O185" s="3">
        <f t="shared" si="5"/>
        <v>33.5</v>
      </c>
    </row>
    <row r="186" spans="1:15" x14ac:dyDescent="0.3">
      <c r="A186" t="s">
        <v>100</v>
      </c>
      <c r="B186">
        <v>230</v>
      </c>
      <c r="C186" t="s">
        <v>330</v>
      </c>
      <c r="D186" t="s">
        <v>16</v>
      </c>
      <c r="E186">
        <v>716</v>
      </c>
      <c r="F186">
        <v>15.01</v>
      </c>
      <c r="G186">
        <v>14</v>
      </c>
      <c r="H186" s="1">
        <v>0.99529999999999996</v>
      </c>
      <c r="I186" t="s">
        <v>331</v>
      </c>
      <c r="J186" s="2">
        <v>45181</v>
      </c>
      <c r="K186" s="4">
        <v>46189</v>
      </c>
      <c r="L186" t="s">
        <v>18</v>
      </c>
      <c r="M186">
        <v>427</v>
      </c>
      <c r="N186" t="str">
        <f t="shared" si="4"/>
        <v>mayor a 2 años</v>
      </c>
      <c r="O186" s="3">
        <f t="shared" si="5"/>
        <v>33.6</v>
      </c>
    </row>
    <row r="187" spans="1:15" x14ac:dyDescent="0.3">
      <c r="A187" t="s">
        <v>100</v>
      </c>
      <c r="B187">
        <v>231</v>
      </c>
      <c r="C187" t="s">
        <v>332</v>
      </c>
      <c r="D187" t="s">
        <v>25</v>
      </c>
      <c r="E187">
        <v>1282</v>
      </c>
      <c r="F187">
        <v>13.17</v>
      </c>
      <c r="G187">
        <v>14</v>
      </c>
      <c r="H187" s="1">
        <v>0.87360000000000004</v>
      </c>
      <c r="I187" t="s">
        <v>331</v>
      </c>
      <c r="J187" s="2">
        <v>45181</v>
      </c>
      <c r="K187" s="4">
        <v>46189</v>
      </c>
      <c r="L187" t="s">
        <v>18</v>
      </c>
      <c r="M187">
        <v>676</v>
      </c>
      <c r="N187" t="str">
        <f t="shared" si="4"/>
        <v>mayor a 2 años</v>
      </c>
      <c r="O187" s="3">
        <f t="shared" si="5"/>
        <v>33.6</v>
      </c>
    </row>
    <row r="188" spans="1:15" x14ac:dyDescent="0.3">
      <c r="A188" t="s">
        <v>21</v>
      </c>
      <c r="B188">
        <v>150</v>
      </c>
      <c r="C188" t="s">
        <v>333</v>
      </c>
      <c r="D188" t="s">
        <v>16</v>
      </c>
      <c r="E188">
        <v>1607</v>
      </c>
      <c r="F188">
        <v>15.57</v>
      </c>
      <c r="G188">
        <v>14</v>
      </c>
      <c r="H188" s="1">
        <v>1.0327999999999999</v>
      </c>
      <c r="I188" t="s">
        <v>334</v>
      </c>
      <c r="J188" s="2">
        <v>45180</v>
      </c>
      <c r="K188" s="4">
        <v>46189</v>
      </c>
      <c r="L188" t="s">
        <v>18</v>
      </c>
      <c r="M188">
        <v>1851</v>
      </c>
      <c r="N188" t="str">
        <f t="shared" si="4"/>
        <v>mayor a 2 años</v>
      </c>
      <c r="O188" s="3">
        <f t="shared" si="5"/>
        <v>33.633333333333333</v>
      </c>
    </row>
    <row r="189" spans="1:15" x14ac:dyDescent="0.3">
      <c r="A189" t="s">
        <v>37</v>
      </c>
      <c r="B189">
        <v>497</v>
      </c>
      <c r="C189" t="s">
        <v>335</v>
      </c>
      <c r="D189" t="s">
        <v>39</v>
      </c>
      <c r="E189">
        <v>741</v>
      </c>
      <c r="F189">
        <v>15.26</v>
      </c>
      <c r="G189">
        <v>14</v>
      </c>
      <c r="H189" s="1">
        <v>1.0121</v>
      </c>
      <c r="I189" t="s">
        <v>336</v>
      </c>
      <c r="J189" s="2">
        <v>45177</v>
      </c>
      <c r="K189" s="4">
        <v>46189</v>
      </c>
      <c r="L189" t="s">
        <v>18</v>
      </c>
      <c r="M189">
        <v>20</v>
      </c>
      <c r="N189" t="str">
        <f t="shared" si="4"/>
        <v>mayor a 2 años</v>
      </c>
      <c r="O189" s="3">
        <f t="shared" si="5"/>
        <v>33.733333333333334</v>
      </c>
    </row>
    <row r="190" spans="1:15" x14ac:dyDescent="0.3">
      <c r="A190" t="s">
        <v>29</v>
      </c>
      <c r="B190">
        <v>140</v>
      </c>
      <c r="C190" t="s">
        <v>337</v>
      </c>
      <c r="D190" t="s">
        <v>43</v>
      </c>
      <c r="E190">
        <v>370</v>
      </c>
      <c r="F190">
        <v>27.53</v>
      </c>
      <c r="G190">
        <v>28</v>
      </c>
      <c r="H190" s="1">
        <v>1.8261000000000001</v>
      </c>
      <c r="I190" t="s">
        <v>338</v>
      </c>
      <c r="J190" s="2">
        <v>45174</v>
      </c>
      <c r="K190" s="4">
        <v>46189</v>
      </c>
      <c r="L190" t="s">
        <v>18</v>
      </c>
      <c r="M190">
        <v>2012</v>
      </c>
      <c r="N190" t="str">
        <f t="shared" si="4"/>
        <v>mayor a 2 años</v>
      </c>
      <c r="O190" s="3">
        <f t="shared" si="5"/>
        <v>33.833333333333336</v>
      </c>
    </row>
    <row r="191" spans="1:15" x14ac:dyDescent="0.3">
      <c r="A191" t="s">
        <v>105</v>
      </c>
      <c r="B191">
        <v>199</v>
      </c>
      <c r="C191" t="s">
        <v>339</v>
      </c>
      <c r="D191" t="s">
        <v>16</v>
      </c>
      <c r="E191">
        <v>1550</v>
      </c>
      <c r="F191">
        <v>15.59</v>
      </c>
      <c r="G191">
        <v>14</v>
      </c>
      <c r="H191" s="1">
        <v>1.0342</v>
      </c>
      <c r="I191" t="s">
        <v>340</v>
      </c>
      <c r="J191" s="2">
        <v>45173</v>
      </c>
      <c r="K191" s="4">
        <v>46189</v>
      </c>
      <c r="L191" t="s">
        <v>18</v>
      </c>
      <c r="M191">
        <v>2123</v>
      </c>
      <c r="N191" t="str">
        <f t="shared" si="4"/>
        <v>mayor a 2 años</v>
      </c>
      <c r="O191" s="3">
        <f t="shared" si="5"/>
        <v>33.866666666666667</v>
      </c>
    </row>
    <row r="192" spans="1:15" x14ac:dyDescent="0.3">
      <c r="A192" t="s">
        <v>26</v>
      </c>
      <c r="B192">
        <v>145</v>
      </c>
      <c r="C192" t="s">
        <v>341</v>
      </c>
      <c r="D192" t="s">
        <v>25</v>
      </c>
      <c r="E192">
        <v>1092</v>
      </c>
      <c r="F192">
        <v>14.96</v>
      </c>
      <c r="G192">
        <v>14</v>
      </c>
      <c r="H192" s="1">
        <v>0.99260000000000004</v>
      </c>
      <c r="I192" t="s">
        <v>340</v>
      </c>
      <c r="J192" s="2">
        <v>45173</v>
      </c>
      <c r="K192" s="4">
        <v>46189</v>
      </c>
      <c r="L192" t="s">
        <v>18</v>
      </c>
      <c r="M192">
        <v>1668</v>
      </c>
      <c r="N192" t="str">
        <f t="shared" si="4"/>
        <v>mayor a 2 años</v>
      </c>
      <c r="O192" s="3">
        <f t="shared" si="5"/>
        <v>33.866666666666667</v>
      </c>
    </row>
    <row r="193" spans="1:15" x14ac:dyDescent="0.3">
      <c r="A193" t="s">
        <v>26</v>
      </c>
      <c r="B193">
        <v>144</v>
      </c>
      <c r="C193" t="s">
        <v>342</v>
      </c>
      <c r="D193" t="s">
        <v>16</v>
      </c>
      <c r="E193">
        <v>1019</v>
      </c>
      <c r="F193">
        <v>12.81</v>
      </c>
      <c r="G193">
        <v>14</v>
      </c>
      <c r="H193" s="1">
        <v>0.84940000000000004</v>
      </c>
      <c r="I193" t="s">
        <v>340</v>
      </c>
      <c r="J193" s="2">
        <v>45173</v>
      </c>
      <c r="K193" s="4">
        <v>46189</v>
      </c>
      <c r="L193" t="s">
        <v>18</v>
      </c>
      <c r="M193">
        <v>540</v>
      </c>
      <c r="N193" t="str">
        <f t="shared" si="4"/>
        <v>mayor a 2 años</v>
      </c>
      <c r="O193" s="3">
        <f t="shared" si="5"/>
        <v>33.866666666666667</v>
      </c>
    </row>
    <row r="194" spans="1:15" x14ac:dyDescent="0.3">
      <c r="A194" t="s">
        <v>26</v>
      </c>
      <c r="B194">
        <v>143</v>
      </c>
      <c r="C194" t="s">
        <v>343</v>
      </c>
      <c r="D194" t="s">
        <v>16</v>
      </c>
      <c r="E194">
        <v>681</v>
      </c>
      <c r="F194">
        <v>11.08</v>
      </c>
      <c r="G194">
        <v>14</v>
      </c>
      <c r="H194" s="1">
        <v>0.73480000000000001</v>
      </c>
      <c r="I194" t="s">
        <v>340</v>
      </c>
      <c r="J194" s="2">
        <v>45173</v>
      </c>
      <c r="K194" s="4">
        <v>46189</v>
      </c>
      <c r="L194" t="s">
        <v>18</v>
      </c>
      <c r="M194">
        <v>83</v>
      </c>
      <c r="N194" t="str">
        <f t="shared" si="4"/>
        <v>mayor a 2 años</v>
      </c>
      <c r="O194" s="3">
        <f t="shared" si="5"/>
        <v>33.866666666666667</v>
      </c>
    </row>
    <row r="195" spans="1:15" x14ac:dyDescent="0.3">
      <c r="A195" t="s">
        <v>137</v>
      </c>
      <c r="B195">
        <v>211</v>
      </c>
      <c r="C195" t="s">
        <v>344</v>
      </c>
      <c r="D195" t="s">
        <v>43</v>
      </c>
      <c r="E195">
        <v>923</v>
      </c>
      <c r="F195">
        <v>14.72</v>
      </c>
      <c r="G195">
        <v>14</v>
      </c>
      <c r="H195" s="1">
        <v>0.97619999999999996</v>
      </c>
      <c r="I195" t="s">
        <v>340</v>
      </c>
      <c r="J195" s="2">
        <v>45173</v>
      </c>
      <c r="K195" s="4">
        <v>46189</v>
      </c>
      <c r="L195" t="s">
        <v>18</v>
      </c>
      <c r="M195">
        <v>405</v>
      </c>
      <c r="N195" t="str">
        <f t="shared" ref="N195:N258" si="6">+IF(O195&lt;=3,"0 a 3 meses",IF(O195&lt;=6,"3 meses a 6 meses",IF(O195&lt;=12,"6 meses a 12 meses",IF(O195&lt;=24,"1 año a 2 años","mayor a 2 años"))))</f>
        <v>mayor a 2 años</v>
      </c>
      <c r="O195" s="3">
        <f t="shared" ref="O195:O258" si="7">+(K195-J195)/30</f>
        <v>33.866666666666667</v>
      </c>
    </row>
    <row r="196" spans="1:15" x14ac:dyDescent="0.3">
      <c r="A196" t="s">
        <v>105</v>
      </c>
      <c r="B196">
        <v>318</v>
      </c>
      <c r="C196" t="s">
        <v>345</v>
      </c>
      <c r="D196" t="s">
        <v>127</v>
      </c>
      <c r="E196">
        <v>2401</v>
      </c>
      <c r="F196">
        <v>13.73</v>
      </c>
      <c r="G196">
        <v>14</v>
      </c>
      <c r="H196" s="1">
        <v>0.91059999999999997</v>
      </c>
      <c r="I196" t="s">
        <v>346</v>
      </c>
      <c r="J196" s="2">
        <v>45170</v>
      </c>
      <c r="K196" s="4">
        <v>46189</v>
      </c>
      <c r="L196" t="s">
        <v>18</v>
      </c>
      <c r="M196">
        <v>535</v>
      </c>
      <c r="N196" t="str">
        <f t="shared" si="6"/>
        <v>mayor a 2 años</v>
      </c>
      <c r="O196" s="3">
        <f t="shared" si="7"/>
        <v>33.966666666666669</v>
      </c>
    </row>
    <row r="197" spans="1:15" x14ac:dyDescent="0.3">
      <c r="A197" t="s">
        <v>105</v>
      </c>
      <c r="B197">
        <v>190</v>
      </c>
      <c r="C197" t="s">
        <v>347</v>
      </c>
      <c r="D197" t="s">
        <v>127</v>
      </c>
      <c r="E197">
        <v>319</v>
      </c>
      <c r="F197">
        <v>19.07</v>
      </c>
      <c r="G197">
        <v>14</v>
      </c>
      <c r="H197" s="1">
        <v>1.2650999999999999</v>
      </c>
      <c r="I197" t="s">
        <v>346</v>
      </c>
      <c r="J197" s="2">
        <v>45170</v>
      </c>
      <c r="K197" s="4">
        <v>46189</v>
      </c>
      <c r="L197" t="s">
        <v>18</v>
      </c>
      <c r="M197">
        <v>1002</v>
      </c>
      <c r="N197" t="str">
        <f t="shared" si="6"/>
        <v>mayor a 2 años</v>
      </c>
      <c r="O197" s="3">
        <f t="shared" si="7"/>
        <v>33.966666666666669</v>
      </c>
    </row>
    <row r="198" spans="1:15" x14ac:dyDescent="0.3">
      <c r="A198" t="s">
        <v>105</v>
      </c>
      <c r="B198">
        <v>239</v>
      </c>
      <c r="C198" t="s">
        <v>348</v>
      </c>
      <c r="D198" t="s">
        <v>39</v>
      </c>
      <c r="E198">
        <v>1201</v>
      </c>
      <c r="F198">
        <v>19.37</v>
      </c>
      <c r="G198">
        <v>14</v>
      </c>
      <c r="H198" s="1">
        <v>1.2850999999999999</v>
      </c>
      <c r="I198" t="s">
        <v>346</v>
      </c>
      <c r="J198" s="2">
        <v>45170</v>
      </c>
      <c r="K198" s="4">
        <v>46189</v>
      </c>
      <c r="L198" t="s">
        <v>18</v>
      </c>
      <c r="M198">
        <v>4375</v>
      </c>
      <c r="N198" t="str">
        <f t="shared" si="6"/>
        <v>mayor a 2 años</v>
      </c>
      <c r="O198" s="3">
        <f t="shared" si="7"/>
        <v>33.966666666666669</v>
      </c>
    </row>
    <row r="199" spans="1:15" x14ac:dyDescent="0.3">
      <c r="A199" t="s">
        <v>29</v>
      </c>
      <c r="B199">
        <v>137</v>
      </c>
      <c r="C199" t="s">
        <v>349</v>
      </c>
      <c r="D199" t="s">
        <v>16</v>
      </c>
      <c r="E199">
        <v>1185</v>
      </c>
      <c r="F199">
        <v>17.18</v>
      </c>
      <c r="G199">
        <v>28</v>
      </c>
      <c r="H199" s="1">
        <v>1.1395999999999999</v>
      </c>
      <c r="I199" t="s">
        <v>350</v>
      </c>
      <c r="J199" s="2">
        <v>45167</v>
      </c>
      <c r="K199" s="4">
        <v>46189</v>
      </c>
      <c r="L199" t="s">
        <v>18</v>
      </c>
      <c r="M199">
        <v>1125</v>
      </c>
      <c r="N199" t="str">
        <f t="shared" si="6"/>
        <v>mayor a 2 años</v>
      </c>
      <c r="O199" s="3">
        <f t="shared" si="7"/>
        <v>34.06666666666667</v>
      </c>
    </row>
    <row r="200" spans="1:15" x14ac:dyDescent="0.3">
      <c r="A200" t="s">
        <v>29</v>
      </c>
      <c r="B200">
        <v>136</v>
      </c>
      <c r="C200" t="s">
        <v>351</v>
      </c>
      <c r="D200" t="s">
        <v>25</v>
      </c>
      <c r="E200">
        <v>1299</v>
      </c>
      <c r="F200">
        <v>24.3</v>
      </c>
      <c r="G200">
        <v>28</v>
      </c>
      <c r="H200" s="1">
        <v>1.6114999999999999</v>
      </c>
      <c r="I200" t="s">
        <v>350</v>
      </c>
      <c r="J200" s="2">
        <v>45167</v>
      </c>
      <c r="K200" s="4">
        <v>46189</v>
      </c>
      <c r="L200" t="s">
        <v>18</v>
      </c>
      <c r="M200">
        <v>7117</v>
      </c>
      <c r="N200" t="str">
        <f t="shared" si="6"/>
        <v>mayor a 2 años</v>
      </c>
      <c r="O200" s="3">
        <f t="shared" si="7"/>
        <v>34.06666666666667</v>
      </c>
    </row>
    <row r="201" spans="1:15" x14ac:dyDescent="0.3">
      <c r="A201" t="s">
        <v>137</v>
      </c>
      <c r="B201">
        <v>208</v>
      </c>
      <c r="C201" t="s">
        <v>352</v>
      </c>
      <c r="D201" t="s">
        <v>16</v>
      </c>
      <c r="E201">
        <v>940</v>
      </c>
      <c r="F201">
        <v>16.46</v>
      </c>
      <c r="G201">
        <v>14</v>
      </c>
      <c r="H201" s="1">
        <v>1.0914999999999999</v>
      </c>
      <c r="I201" t="s">
        <v>353</v>
      </c>
      <c r="J201" s="2">
        <v>45163</v>
      </c>
      <c r="K201" s="4">
        <v>46189</v>
      </c>
      <c r="L201" t="s">
        <v>18</v>
      </c>
      <c r="M201">
        <v>2404</v>
      </c>
      <c r="N201" t="str">
        <f t="shared" si="6"/>
        <v>mayor a 2 años</v>
      </c>
      <c r="O201" s="3">
        <f t="shared" si="7"/>
        <v>34.200000000000003</v>
      </c>
    </row>
    <row r="202" spans="1:15" x14ac:dyDescent="0.3">
      <c r="A202" t="s">
        <v>105</v>
      </c>
      <c r="B202">
        <v>197</v>
      </c>
      <c r="C202" t="s">
        <v>354</v>
      </c>
      <c r="D202" t="s">
        <v>43</v>
      </c>
      <c r="E202">
        <v>1047</v>
      </c>
      <c r="F202">
        <v>16.100000000000001</v>
      </c>
      <c r="G202">
        <v>14</v>
      </c>
      <c r="H202" s="1">
        <v>1.0681</v>
      </c>
      <c r="I202" t="s">
        <v>355</v>
      </c>
      <c r="J202" s="2">
        <v>45133</v>
      </c>
      <c r="K202" s="4">
        <v>46189</v>
      </c>
      <c r="L202" t="s">
        <v>18</v>
      </c>
      <c r="M202">
        <v>1214</v>
      </c>
      <c r="N202" t="str">
        <f t="shared" si="6"/>
        <v>mayor a 2 años</v>
      </c>
      <c r="O202" s="3">
        <f t="shared" si="7"/>
        <v>35.200000000000003</v>
      </c>
    </row>
    <row r="203" spans="1:15" x14ac:dyDescent="0.3">
      <c r="A203" t="s">
        <v>100</v>
      </c>
      <c r="B203">
        <v>226</v>
      </c>
      <c r="C203" t="s">
        <v>356</v>
      </c>
      <c r="D203" t="s">
        <v>43</v>
      </c>
      <c r="E203">
        <v>1350</v>
      </c>
      <c r="F203">
        <v>19.61</v>
      </c>
      <c r="G203">
        <v>14</v>
      </c>
      <c r="H203" s="1">
        <v>1.3005</v>
      </c>
      <c r="I203" t="s">
        <v>357</v>
      </c>
      <c r="J203" s="2">
        <v>45132</v>
      </c>
      <c r="K203" s="4">
        <v>46189</v>
      </c>
      <c r="L203" t="s">
        <v>18</v>
      </c>
      <c r="M203">
        <v>4367</v>
      </c>
      <c r="N203" t="str">
        <f t="shared" si="6"/>
        <v>mayor a 2 años</v>
      </c>
      <c r="O203" s="3">
        <f t="shared" si="7"/>
        <v>35.233333333333334</v>
      </c>
    </row>
    <row r="204" spans="1:15" x14ac:dyDescent="0.3">
      <c r="A204" t="s">
        <v>100</v>
      </c>
      <c r="B204">
        <v>228</v>
      </c>
      <c r="C204" t="s">
        <v>358</v>
      </c>
      <c r="D204" t="s">
        <v>16</v>
      </c>
      <c r="E204">
        <v>1230</v>
      </c>
      <c r="F204">
        <v>14.39</v>
      </c>
      <c r="G204">
        <v>14</v>
      </c>
      <c r="H204" s="1">
        <v>0.95450000000000002</v>
      </c>
      <c r="I204" t="s">
        <v>357</v>
      </c>
      <c r="J204" s="2">
        <v>45132</v>
      </c>
      <c r="K204" s="4">
        <v>46189</v>
      </c>
      <c r="L204" t="s">
        <v>18</v>
      </c>
      <c r="M204">
        <v>215</v>
      </c>
      <c r="N204" t="str">
        <f t="shared" si="6"/>
        <v>mayor a 2 años</v>
      </c>
      <c r="O204" s="3">
        <f t="shared" si="7"/>
        <v>35.233333333333334</v>
      </c>
    </row>
    <row r="205" spans="1:15" x14ac:dyDescent="0.3">
      <c r="A205" t="s">
        <v>29</v>
      </c>
      <c r="B205">
        <v>132</v>
      </c>
      <c r="C205" t="s">
        <v>359</v>
      </c>
      <c r="D205" t="s">
        <v>43</v>
      </c>
      <c r="E205">
        <v>1106</v>
      </c>
      <c r="F205">
        <v>38.14</v>
      </c>
      <c r="G205">
        <v>28</v>
      </c>
      <c r="H205" s="1">
        <v>2.5299</v>
      </c>
      <c r="I205" t="s">
        <v>360</v>
      </c>
      <c r="J205" s="2">
        <v>45128</v>
      </c>
      <c r="K205" s="4">
        <v>46189</v>
      </c>
      <c r="L205" t="s">
        <v>18</v>
      </c>
      <c r="M205">
        <v>9664</v>
      </c>
      <c r="N205" t="str">
        <f t="shared" si="6"/>
        <v>mayor a 2 años</v>
      </c>
      <c r="O205" s="3">
        <f t="shared" si="7"/>
        <v>35.366666666666667</v>
      </c>
    </row>
    <row r="206" spans="1:15" x14ac:dyDescent="0.3">
      <c r="A206" t="s">
        <v>37</v>
      </c>
      <c r="B206">
        <v>486</v>
      </c>
      <c r="C206" t="s">
        <v>361</v>
      </c>
      <c r="D206" t="s">
        <v>39</v>
      </c>
      <c r="E206">
        <v>989</v>
      </c>
      <c r="F206">
        <v>13.79</v>
      </c>
      <c r="G206">
        <v>14</v>
      </c>
      <c r="H206" s="1">
        <v>0.91490000000000005</v>
      </c>
      <c r="I206" t="s">
        <v>362</v>
      </c>
      <c r="J206" s="2">
        <v>45126</v>
      </c>
      <c r="K206" s="4">
        <v>46189</v>
      </c>
      <c r="L206" t="s">
        <v>18</v>
      </c>
      <c r="N206" t="str">
        <f t="shared" si="6"/>
        <v>mayor a 2 años</v>
      </c>
      <c r="O206" s="3">
        <f t="shared" si="7"/>
        <v>35.43333333333333</v>
      </c>
    </row>
    <row r="207" spans="1:15" x14ac:dyDescent="0.3">
      <c r="A207" t="s">
        <v>100</v>
      </c>
      <c r="B207">
        <v>223</v>
      </c>
      <c r="C207" t="s">
        <v>363</v>
      </c>
      <c r="D207" t="s">
        <v>43</v>
      </c>
      <c r="E207">
        <v>978</v>
      </c>
      <c r="F207">
        <v>21.4</v>
      </c>
      <c r="G207">
        <v>14</v>
      </c>
      <c r="H207" s="1">
        <v>1.4191</v>
      </c>
      <c r="I207" t="s">
        <v>364</v>
      </c>
      <c r="J207" s="2">
        <v>45125</v>
      </c>
      <c r="K207" s="4">
        <v>46189</v>
      </c>
      <c r="L207" t="s">
        <v>18</v>
      </c>
      <c r="M207">
        <v>4187</v>
      </c>
      <c r="N207" t="str">
        <f t="shared" si="6"/>
        <v>mayor a 2 años</v>
      </c>
      <c r="O207" s="3">
        <f t="shared" si="7"/>
        <v>35.466666666666669</v>
      </c>
    </row>
    <row r="208" spans="1:15" x14ac:dyDescent="0.3">
      <c r="A208" t="s">
        <v>105</v>
      </c>
      <c r="B208">
        <v>196</v>
      </c>
      <c r="C208" t="s">
        <v>365</v>
      </c>
      <c r="D208" t="s">
        <v>25</v>
      </c>
      <c r="E208">
        <v>935</v>
      </c>
      <c r="F208">
        <v>11.87</v>
      </c>
      <c r="G208">
        <v>14</v>
      </c>
      <c r="H208" s="1">
        <v>0.78749999999999998</v>
      </c>
      <c r="I208" t="s">
        <v>366</v>
      </c>
      <c r="J208" s="2">
        <v>45120</v>
      </c>
      <c r="K208" s="4">
        <v>46189</v>
      </c>
      <c r="L208" t="s">
        <v>18</v>
      </c>
      <c r="M208">
        <v>1191</v>
      </c>
      <c r="N208" t="str">
        <f t="shared" si="6"/>
        <v>mayor a 2 años</v>
      </c>
      <c r="O208" s="3">
        <f t="shared" si="7"/>
        <v>35.633333333333333</v>
      </c>
    </row>
    <row r="209" spans="1:15" x14ac:dyDescent="0.3">
      <c r="A209" t="s">
        <v>110</v>
      </c>
      <c r="B209">
        <v>272</v>
      </c>
      <c r="C209" t="s">
        <v>367</v>
      </c>
      <c r="D209" t="s">
        <v>39</v>
      </c>
      <c r="E209">
        <v>863</v>
      </c>
      <c r="F209">
        <v>17.260000000000002</v>
      </c>
      <c r="G209">
        <v>14</v>
      </c>
      <c r="H209" s="1">
        <v>1.1445000000000001</v>
      </c>
      <c r="I209" t="s">
        <v>368</v>
      </c>
      <c r="J209" s="2">
        <v>45072</v>
      </c>
      <c r="K209" s="4">
        <v>46189</v>
      </c>
      <c r="L209" t="s">
        <v>18</v>
      </c>
      <c r="M209">
        <v>1561</v>
      </c>
      <c r="N209" t="str">
        <f t="shared" si="6"/>
        <v>mayor a 2 años</v>
      </c>
      <c r="O209" s="3">
        <f t="shared" si="7"/>
        <v>37.233333333333334</v>
      </c>
    </row>
    <row r="210" spans="1:15" x14ac:dyDescent="0.3">
      <c r="A210" t="s">
        <v>110</v>
      </c>
      <c r="B210">
        <v>269</v>
      </c>
      <c r="C210" t="s">
        <v>369</v>
      </c>
      <c r="D210" t="s">
        <v>16</v>
      </c>
      <c r="E210">
        <v>1196</v>
      </c>
      <c r="F210">
        <v>10.9</v>
      </c>
      <c r="G210">
        <v>14</v>
      </c>
      <c r="H210" s="1">
        <v>0.72270000000000001</v>
      </c>
      <c r="I210" t="s">
        <v>370</v>
      </c>
      <c r="J210" s="2">
        <v>45063</v>
      </c>
      <c r="K210" s="4">
        <v>46189</v>
      </c>
      <c r="L210" t="s">
        <v>18</v>
      </c>
      <c r="M210">
        <v>6</v>
      </c>
      <c r="N210" t="str">
        <f t="shared" si="6"/>
        <v>mayor a 2 años</v>
      </c>
      <c r="O210" s="3">
        <f t="shared" si="7"/>
        <v>37.533333333333331</v>
      </c>
    </row>
    <row r="211" spans="1:15" x14ac:dyDescent="0.3">
      <c r="A211" t="s">
        <v>33</v>
      </c>
      <c r="B211">
        <v>167</v>
      </c>
      <c r="C211" t="s">
        <v>371</v>
      </c>
      <c r="D211" t="s">
        <v>43</v>
      </c>
      <c r="E211">
        <v>246</v>
      </c>
      <c r="F211">
        <v>19.350000000000001</v>
      </c>
      <c r="G211">
        <v>14</v>
      </c>
      <c r="H211" s="1">
        <v>1.2831999999999999</v>
      </c>
      <c r="I211" t="s">
        <v>370</v>
      </c>
      <c r="J211" s="2">
        <v>45063</v>
      </c>
      <c r="K211" s="4">
        <v>46189</v>
      </c>
      <c r="L211" t="s">
        <v>18</v>
      </c>
      <c r="M211">
        <v>924</v>
      </c>
      <c r="N211" t="str">
        <f t="shared" si="6"/>
        <v>mayor a 2 años</v>
      </c>
      <c r="O211" s="3">
        <f t="shared" si="7"/>
        <v>37.533333333333331</v>
      </c>
    </row>
    <row r="212" spans="1:15" x14ac:dyDescent="0.3">
      <c r="A212" t="s">
        <v>14</v>
      </c>
      <c r="B212">
        <v>182</v>
      </c>
      <c r="C212" t="s">
        <v>372</v>
      </c>
      <c r="D212" t="s">
        <v>43</v>
      </c>
      <c r="E212">
        <v>795</v>
      </c>
      <c r="F212">
        <v>12.1</v>
      </c>
      <c r="G212">
        <v>14</v>
      </c>
      <c r="H212" s="1">
        <v>0.80279999999999996</v>
      </c>
      <c r="I212" t="s">
        <v>373</v>
      </c>
      <c r="J212" s="2">
        <v>45047</v>
      </c>
      <c r="K212" s="4">
        <v>46189</v>
      </c>
      <c r="L212" t="s">
        <v>99</v>
      </c>
      <c r="M212">
        <v>485</v>
      </c>
      <c r="N212" t="str">
        <f t="shared" si="6"/>
        <v>mayor a 2 años</v>
      </c>
      <c r="O212" s="3">
        <f t="shared" si="7"/>
        <v>38.06666666666667</v>
      </c>
    </row>
    <row r="213" spans="1:15" x14ac:dyDescent="0.3">
      <c r="A213" t="s">
        <v>100</v>
      </c>
      <c r="B213">
        <v>221</v>
      </c>
      <c r="C213" t="s">
        <v>374</v>
      </c>
      <c r="D213" t="s">
        <v>25</v>
      </c>
      <c r="E213">
        <v>1384</v>
      </c>
      <c r="F213">
        <v>16.489999999999998</v>
      </c>
      <c r="G213">
        <v>14</v>
      </c>
      <c r="H213" s="1">
        <v>1.0935999999999999</v>
      </c>
      <c r="I213" t="s">
        <v>375</v>
      </c>
      <c r="J213" s="2">
        <v>45027</v>
      </c>
      <c r="K213" s="4">
        <v>46189</v>
      </c>
      <c r="L213" t="s">
        <v>18</v>
      </c>
      <c r="M213">
        <v>1845</v>
      </c>
      <c r="N213" t="str">
        <f t="shared" si="6"/>
        <v>mayor a 2 años</v>
      </c>
      <c r="O213" s="3">
        <f t="shared" si="7"/>
        <v>38.733333333333334</v>
      </c>
    </row>
    <row r="214" spans="1:15" x14ac:dyDescent="0.3">
      <c r="A214" t="s">
        <v>137</v>
      </c>
      <c r="B214">
        <v>201</v>
      </c>
      <c r="C214" t="s">
        <v>376</v>
      </c>
      <c r="D214" t="s">
        <v>16</v>
      </c>
      <c r="E214">
        <v>1112</v>
      </c>
      <c r="F214">
        <v>17.7</v>
      </c>
      <c r="G214">
        <v>14</v>
      </c>
      <c r="H214" s="1">
        <v>1.1738999999999999</v>
      </c>
      <c r="I214" t="s">
        <v>377</v>
      </c>
      <c r="J214" s="2">
        <v>45022</v>
      </c>
      <c r="K214" s="4">
        <v>46189</v>
      </c>
      <c r="L214" t="s">
        <v>18</v>
      </c>
      <c r="M214">
        <v>553</v>
      </c>
      <c r="N214" t="str">
        <f t="shared" si="6"/>
        <v>mayor a 2 años</v>
      </c>
      <c r="O214" s="3">
        <f t="shared" si="7"/>
        <v>38.9</v>
      </c>
    </row>
    <row r="215" spans="1:15" x14ac:dyDescent="0.3">
      <c r="A215" t="s">
        <v>100</v>
      </c>
      <c r="B215">
        <v>210</v>
      </c>
      <c r="C215" t="s">
        <v>378</v>
      </c>
      <c r="D215" t="s">
        <v>16</v>
      </c>
      <c r="E215">
        <v>1046</v>
      </c>
      <c r="F215">
        <v>13.79</v>
      </c>
      <c r="G215">
        <v>14</v>
      </c>
      <c r="H215" s="1">
        <v>0.91500000000000004</v>
      </c>
      <c r="I215" t="s">
        <v>379</v>
      </c>
      <c r="J215" s="2">
        <v>45021</v>
      </c>
      <c r="K215" s="4">
        <v>46189</v>
      </c>
      <c r="L215" t="s">
        <v>18</v>
      </c>
      <c r="M215">
        <v>466</v>
      </c>
      <c r="N215" t="str">
        <f t="shared" si="6"/>
        <v>mayor a 2 años</v>
      </c>
      <c r="O215" s="3">
        <f t="shared" si="7"/>
        <v>38.93333333333333</v>
      </c>
    </row>
    <row r="216" spans="1:15" x14ac:dyDescent="0.3">
      <c r="A216" t="s">
        <v>100</v>
      </c>
      <c r="B216">
        <v>216</v>
      </c>
      <c r="C216" t="s">
        <v>380</v>
      </c>
      <c r="D216" t="s">
        <v>43</v>
      </c>
      <c r="E216">
        <v>1194</v>
      </c>
      <c r="F216">
        <v>13.67</v>
      </c>
      <c r="G216">
        <v>14</v>
      </c>
      <c r="H216" s="1">
        <v>0.90690000000000004</v>
      </c>
      <c r="I216" t="s">
        <v>381</v>
      </c>
      <c r="J216" s="2">
        <v>45020</v>
      </c>
      <c r="K216" s="4">
        <v>46189</v>
      </c>
      <c r="L216" t="s">
        <v>18</v>
      </c>
      <c r="M216">
        <v>254</v>
      </c>
      <c r="N216" t="str">
        <f t="shared" si="6"/>
        <v>mayor a 2 años</v>
      </c>
      <c r="O216" s="3">
        <f t="shared" si="7"/>
        <v>38.966666666666669</v>
      </c>
    </row>
    <row r="217" spans="1:15" x14ac:dyDescent="0.3">
      <c r="A217" t="s">
        <v>100</v>
      </c>
      <c r="B217">
        <v>217</v>
      </c>
      <c r="C217" t="s">
        <v>382</v>
      </c>
      <c r="D217" t="s">
        <v>16</v>
      </c>
      <c r="E217">
        <v>1036</v>
      </c>
      <c r="F217">
        <v>17.14</v>
      </c>
      <c r="G217">
        <v>14</v>
      </c>
      <c r="H217" s="1">
        <v>1.137</v>
      </c>
      <c r="I217" t="s">
        <v>381</v>
      </c>
      <c r="J217" s="2">
        <v>45020</v>
      </c>
      <c r="K217" s="4">
        <v>46189</v>
      </c>
      <c r="L217" t="s">
        <v>18</v>
      </c>
      <c r="M217">
        <v>1408</v>
      </c>
      <c r="N217" t="str">
        <f t="shared" si="6"/>
        <v>mayor a 2 años</v>
      </c>
      <c r="O217" s="3">
        <f t="shared" si="7"/>
        <v>38.966666666666669</v>
      </c>
    </row>
    <row r="218" spans="1:15" x14ac:dyDescent="0.3">
      <c r="A218" t="s">
        <v>100</v>
      </c>
      <c r="B218">
        <v>218</v>
      </c>
      <c r="C218" t="s">
        <v>383</v>
      </c>
      <c r="D218" t="s">
        <v>43</v>
      </c>
      <c r="E218">
        <v>1406</v>
      </c>
      <c r="F218">
        <v>18.190000000000001</v>
      </c>
      <c r="G218">
        <v>14</v>
      </c>
      <c r="H218" s="1">
        <v>1.2061999999999999</v>
      </c>
      <c r="I218" t="s">
        <v>381</v>
      </c>
      <c r="J218" s="2">
        <v>45020</v>
      </c>
      <c r="K218" s="4">
        <v>46189</v>
      </c>
      <c r="L218" t="s">
        <v>18</v>
      </c>
      <c r="M218">
        <v>2907</v>
      </c>
      <c r="N218" t="str">
        <f t="shared" si="6"/>
        <v>mayor a 2 años</v>
      </c>
      <c r="O218" s="3">
        <f t="shared" si="7"/>
        <v>38.966666666666669</v>
      </c>
    </row>
    <row r="219" spans="1:15" x14ac:dyDescent="0.3">
      <c r="A219" t="s">
        <v>105</v>
      </c>
      <c r="B219">
        <v>304</v>
      </c>
      <c r="C219" t="s">
        <v>384</v>
      </c>
      <c r="D219" t="s">
        <v>39</v>
      </c>
      <c r="E219">
        <v>930</v>
      </c>
      <c r="F219">
        <v>25.78</v>
      </c>
      <c r="G219">
        <v>14</v>
      </c>
      <c r="H219" s="1">
        <v>1.7101</v>
      </c>
      <c r="I219" t="s">
        <v>385</v>
      </c>
      <c r="J219" s="2">
        <v>45017</v>
      </c>
      <c r="K219" s="4">
        <v>46189</v>
      </c>
      <c r="L219" t="s">
        <v>18</v>
      </c>
      <c r="M219">
        <v>3839</v>
      </c>
      <c r="N219" t="str">
        <f t="shared" si="6"/>
        <v>mayor a 2 años</v>
      </c>
      <c r="O219" s="3">
        <f t="shared" si="7"/>
        <v>39.06666666666667</v>
      </c>
    </row>
    <row r="220" spans="1:15" x14ac:dyDescent="0.3">
      <c r="A220" t="s">
        <v>37</v>
      </c>
      <c r="B220">
        <v>468</v>
      </c>
      <c r="C220" t="s">
        <v>386</v>
      </c>
      <c r="D220" t="s">
        <v>16</v>
      </c>
      <c r="E220">
        <v>1816</v>
      </c>
      <c r="F220">
        <v>17.149999999999999</v>
      </c>
      <c r="G220">
        <v>14</v>
      </c>
      <c r="H220" s="1">
        <v>1.1375</v>
      </c>
      <c r="I220" t="s">
        <v>387</v>
      </c>
      <c r="J220" s="2">
        <v>44993</v>
      </c>
      <c r="K220" s="4">
        <v>46189</v>
      </c>
      <c r="L220" t="s">
        <v>18</v>
      </c>
      <c r="M220">
        <v>27</v>
      </c>
      <c r="N220" t="str">
        <f t="shared" si="6"/>
        <v>mayor a 2 años</v>
      </c>
      <c r="O220" s="3">
        <f t="shared" si="7"/>
        <v>39.866666666666667</v>
      </c>
    </row>
    <row r="221" spans="1:15" x14ac:dyDescent="0.3">
      <c r="A221" t="s">
        <v>110</v>
      </c>
      <c r="B221">
        <v>268</v>
      </c>
      <c r="C221" t="s">
        <v>388</v>
      </c>
      <c r="D221" t="s">
        <v>39</v>
      </c>
      <c r="E221">
        <v>812</v>
      </c>
      <c r="F221">
        <v>12.53</v>
      </c>
      <c r="G221">
        <v>14</v>
      </c>
      <c r="H221" s="1">
        <v>0.83130000000000004</v>
      </c>
      <c r="I221" t="s">
        <v>389</v>
      </c>
      <c r="J221" s="2">
        <v>44972</v>
      </c>
      <c r="K221" s="4">
        <v>46189</v>
      </c>
      <c r="L221" t="s">
        <v>18</v>
      </c>
      <c r="M221">
        <v>359</v>
      </c>
      <c r="N221" t="str">
        <f t="shared" si="6"/>
        <v>mayor a 2 años</v>
      </c>
      <c r="O221" s="3">
        <f t="shared" si="7"/>
        <v>40.56666666666667</v>
      </c>
    </row>
    <row r="222" spans="1:15" x14ac:dyDescent="0.3">
      <c r="A222" t="s">
        <v>37</v>
      </c>
      <c r="B222">
        <v>463</v>
      </c>
      <c r="C222" t="s">
        <v>390</v>
      </c>
      <c r="D222" t="s">
        <v>16</v>
      </c>
      <c r="E222">
        <v>1775</v>
      </c>
      <c r="F222">
        <v>15.29</v>
      </c>
      <c r="G222">
        <v>14</v>
      </c>
      <c r="H222" s="1">
        <v>1.0141</v>
      </c>
      <c r="I222" t="s">
        <v>391</v>
      </c>
      <c r="J222" s="2">
        <v>44960</v>
      </c>
      <c r="K222" s="4">
        <v>46189</v>
      </c>
      <c r="L222" t="s">
        <v>18</v>
      </c>
      <c r="M222">
        <v>22</v>
      </c>
      <c r="N222" t="str">
        <f t="shared" si="6"/>
        <v>mayor a 2 años</v>
      </c>
      <c r="O222" s="3">
        <f t="shared" si="7"/>
        <v>40.966666666666669</v>
      </c>
    </row>
    <row r="223" spans="1:15" x14ac:dyDescent="0.3">
      <c r="A223" t="s">
        <v>37</v>
      </c>
      <c r="B223">
        <v>465</v>
      </c>
      <c r="C223" t="s">
        <v>392</v>
      </c>
      <c r="D223" t="s">
        <v>43</v>
      </c>
      <c r="E223">
        <v>1081</v>
      </c>
      <c r="F223">
        <v>16.5</v>
      </c>
      <c r="G223">
        <v>14</v>
      </c>
      <c r="H223" s="1">
        <v>1.0943000000000001</v>
      </c>
      <c r="I223" t="s">
        <v>391</v>
      </c>
      <c r="J223" s="2">
        <v>44960</v>
      </c>
      <c r="K223" s="4">
        <v>46189</v>
      </c>
      <c r="L223" t="s">
        <v>18</v>
      </c>
      <c r="M223">
        <v>24</v>
      </c>
      <c r="N223" t="str">
        <f t="shared" si="6"/>
        <v>mayor a 2 años</v>
      </c>
      <c r="O223" s="3">
        <f t="shared" si="7"/>
        <v>40.966666666666669</v>
      </c>
    </row>
    <row r="224" spans="1:15" x14ac:dyDescent="0.3">
      <c r="A224" t="s">
        <v>100</v>
      </c>
      <c r="B224">
        <v>225</v>
      </c>
      <c r="C224" t="s">
        <v>393</v>
      </c>
      <c r="D224" t="s">
        <v>43</v>
      </c>
      <c r="E224">
        <v>1204</v>
      </c>
      <c r="F224">
        <v>22.25</v>
      </c>
      <c r="G224">
        <v>14</v>
      </c>
      <c r="H224" s="1">
        <v>1.4756</v>
      </c>
      <c r="I224" t="s">
        <v>394</v>
      </c>
      <c r="J224" s="2">
        <v>44958</v>
      </c>
      <c r="K224" s="4">
        <v>46189</v>
      </c>
      <c r="L224" t="s">
        <v>18</v>
      </c>
      <c r="M224">
        <v>4713</v>
      </c>
      <c r="N224" t="str">
        <f t="shared" si="6"/>
        <v>mayor a 2 años</v>
      </c>
      <c r="O224" s="3">
        <f t="shared" si="7"/>
        <v>41.033333333333331</v>
      </c>
    </row>
    <row r="225" spans="1:15" x14ac:dyDescent="0.3">
      <c r="A225" t="s">
        <v>105</v>
      </c>
      <c r="B225">
        <v>337</v>
      </c>
      <c r="C225" t="s">
        <v>395</v>
      </c>
      <c r="D225" t="s">
        <v>16</v>
      </c>
      <c r="E225">
        <v>1231</v>
      </c>
      <c r="F225">
        <v>16.18</v>
      </c>
      <c r="G225">
        <v>14</v>
      </c>
      <c r="H225" s="1">
        <v>1.0730999999999999</v>
      </c>
      <c r="I225" t="s">
        <v>396</v>
      </c>
      <c r="J225" s="2">
        <v>44946</v>
      </c>
      <c r="K225" s="4">
        <v>46189</v>
      </c>
      <c r="L225" t="s">
        <v>18</v>
      </c>
      <c r="M225">
        <v>2746</v>
      </c>
      <c r="N225" t="str">
        <f t="shared" si="6"/>
        <v>mayor a 2 años</v>
      </c>
      <c r="O225" s="3">
        <f t="shared" si="7"/>
        <v>41.43333333333333</v>
      </c>
    </row>
    <row r="226" spans="1:15" x14ac:dyDescent="0.3">
      <c r="A226" t="s">
        <v>37</v>
      </c>
      <c r="B226">
        <v>641</v>
      </c>
      <c r="C226" t="s">
        <v>397</v>
      </c>
      <c r="D226" t="s">
        <v>16</v>
      </c>
      <c r="E226">
        <v>1174</v>
      </c>
      <c r="F226">
        <v>14.43</v>
      </c>
      <c r="G226">
        <v>14</v>
      </c>
      <c r="H226" s="1">
        <v>0.95740000000000003</v>
      </c>
      <c r="I226" t="s">
        <v>398</v>
      </c>
      <c r="J226" s="2">
        <v>44945</v>
      </c>
      <c r="K226" s="4">
        <v>46189</v>
      </c>
      <c r="L226" t="s">
        <v>18</v>
      </c>
      <c r="M226">
        <v>14</v>
      </c>
      <c r="N226" t="str">
        <f t="shared" si="6"/>
        <v>mayor a 2 años</v>
      </c>
      <c r="O226" s="3">
        <f t="shared" si="7"/>
        <v>41.466666666666669</v>
      </c>
    </row>
    <row r="227" spans="1:15" x14ac:dyDescent="0.3">
      <c r="A227" t="s">
        <v>105</v>
      </c>
      <c r="B227">
        <v>348</v>
      </c>
      <c r="C227" t="s">
        <v>399</v>
      </c>
      <c r="D227" t="s">
        <v>25</v>
      </c>
      <c r="E227">
        <v>872</v>
      </c>
      <c r="F227">
        <v>13.65</v>
      </c>
      <c r="G227">
        <v>14</v>
      </c>
      <c r="H227" s="1">
        <v>0.90539999999999998</v>
      </c>
      <c r="I227" t="s">
        <v>400</v>
      </c>
      <c r="J227" s="2">
        <v>44938</v>
      </c>
      <c r="K227" s="4">
        <v>46189</v>
      </c>
      <c r="L227" t="s">
        <v>18</v>
      </c>
      <c r="M227">
        <v>14</v>
      </c>
      <c r="N227" t="str">
        <f t="shared" si="6"/>
        <v>mayor a 2 años</v>
      </c>
      <c r="O227" s="3">
        <f t="shared" si="7"/>
        <v>41.7</v>
      </c>
    </row>
    <row r="228" spans="1:15" x14ac:dyDescent="0.3">
      <c r="A228" t="s">
        <v>105</v>
      </c>
      <c r="B228">
        <v>184</v>
      </c>
      <c r="C228" t="s">
        <v>401</v>
      </c>
      <c r="D228" t="s">
        <v>16</v>
      </c>
      <c r="E228">
        <v>1364</v>
      </c>
      <c r="F228">
        <v>17.690000000000001</v>
      </c>
      <c r="G228">
        <v>14</v>
      </c>
      <c r="H228" s="1">
        <v>1.1736</v>
      </c>
      <c r="I228" t="s">
        <v>402</v>
      </c>
      <c r="J228" s="2">
        <v>44897</v>
      </c>
      <c r="K228" s="4">
        <v>46189</v>
      </c>
      <c r="L228" t="s">
        <v>18</v>
      </c>
      <c r="M228">
        <v>1916</v>
      </c>
      <c r="N228" t="str">
        <f t="shared" si="6"/>
        <v>mayor a 2 años</v>
      </c>
      <c r="O228" s="3">
        <f t="shared" si="7"/>
        <v>43.06666666666667</v>
      </c>
    </row>
    <row r="229" spans="1:15" x14ac:dyDescent="0.3">
      <c r="A229" t="s">
        <v>21</v>
      </c>
      <c r="B229">
        <v>124</v>
      </c>
      <c r="C229" t="s">
        <v>403</v>
      </c>
      <c r="D229" t="s">
        <v>25</v>
      </c>
      <c r="E229">
        <v>1926</v>
      </c>
      <c r="F229">
        <v>14.25</v>
      </c>
      <c r="G229">
        <v>14</v>
      </c>
      <c r="H229" s="1">
        <v>0.94530000000000003</v>
      </c>
      <c r="I229" t="s">
        <v>404</v>
      </c>
      <c r="J229" s="2">
        <v>44888</v>
      </c>
      <c r="K229" s="4">
        <v>46189</v>
      </c>
      <c r="L229" t="s">
        <v>18</v>
      </c>
      <c r="M229">
        <v>39</v>
      </c>
      <c r="N229" t="str">
        <f t="shared" si="6"/>
        <v>mayor a 2 años</v>
      </c>
      <c r="O229" s="3">
        <f t="shared" si="7"/>
        <v>43.366666666666667</v>
      </c>
    </row>
    <row r="230" spans="1:15" x14ac:dyDescent="0.3">
      <c r="A230" t="s">
        <v>21</v>
      </c>
      <c r="B230">
        <v>123</v>
      </c>
      <c r="C230" t="s">
        <v>405</v>
      </c>
      <c r="D230" t="s">
        <v>16</v>
      </c>
      <c r="E230">
        <v>1701</v>
      </c>
      <c r="F230">
        <v>24.17</v>
      </c>
      <c r="G230">
        <v>14</v>
      </c>
      <c r="H230" s="1">
        <v>1.6033999999999999</v>
      </c>
      <c r="I230" t="s">
        <v>404</v>
      </c>
      <c r="J230" s="2">
        <v>44888</v>
      </c>
      <c r="K230" s="4">
        <v>46189</v>
      </c>
      <c r="L230" t="s">
        <v>18</v>
      </c>
      <c r="M230">
        <v>3615</v>
      </c>
      <c r="N230" t="str">
        <f t="shared" si="6"/>
        <v>mayor a 2 años</v>
      </c>
      <c r="O230" s="3">
        <f t="shared" si="7"/>
        <v>43.366666666666667</v>
      </c>
    </row>
    <row r="231" spans="1:15" x14ac:dyDescent="0.3">
      <c r="A231" t="s">
        <v>14</v>
      </c>
      <c r="B231">
        <v>132</v>
      </c>
      <c r="C231" t="s">
        <v>406</v>
      </c>
      <c r="D231" t="s">
        <v>25</v>
      </c>
      <c r="E231">
        <v>329</v>
      </c>
      <c r="F231">
        <v>11.33</v>
      </c>
      <c r="G231">
        <v>14</v>
      </c>
      <c r="H231" s="1">
        <v>0.75170000000000003</v>
      </c>
      <c r="I231" t="s">
        <v>407</v>
      </c>
      <c r="J231" s="2">
        <v>44881</v>
      </c>
      <c r="K231" s="4">
        <v>46189</v>
      </c>
      <c r="L231" t="s">
        <v>99</v>
      </c>
      <c r="M231">
        <v>3</v>
      </c>
      <c r="N231" t="str">
        <f t="shared" si="6"/>
        <v>mayor a 2 años</v>
      </c>
      <c r="O231" s="3">
        <f t="shared" si="7"/>
        <v>43.6</v>
      </c>
    </row>
    <row r="232" spans="1:15" x14ac:dyDescent="0.3">
      <c r="A232" t="s">
        <v>33</v>
      </c>
      <c r="B232">
        <v>230</v>
      </c>
      <c r="C232" t="s">
        <v>408</v>
      </c>
      <c r="D232" t="s">
        <v>25</v>
      </c>
      <c r="E232">
        <v>839</v>
      </c>
      <c r="F232">
        <v>11.93</v>
      </c>
      <c r="G232">
        <v>14</v>
      </c>
      <c r="H232" s="1">
        <v>0.79139999999999999</v>
      </c>
      <c r="I232" t="s">
        <v>407</v>
      </c>
      <c r="J232" s="2">
        <v>44881</v>
      </c>
      <c r="K232" s="4">
        <v>46189</v>
      </c>
      <c r="L232" t="s">
        <v>18</v>
      </c>
      <c r="M232">
        <v>2</v>
      </c>
      <c r="N232" t="str">
        <f t="shared" si="6"/>
        <v>mayor a 2 años</v>
      </c>
      <c r="O232" s="3">
        <f t="shared" si="7"/>
        <v>43.6</v>
      </c>
    </row>
    <row r="233" spans="1:15" x14ac:dyDescent="0.3">
      <c r="A233" t="s">
        <v>37</v>
      </c>
      <c r="B233">
        <v>630</v>
      </c>
      <c r="C233" t="s">
        <v>409</v>
      </c>
      <c r="D233" t="s">
        <v>43</v>
      </c>
      <c r="E233">
        <v>894</v>
      </c>
      <c r="F233">
        <v>14.81</v>
      </c>
      <c r="G233">
        <v>14</v>
      </c>
      <c r="H233" s="1">
        <v>0.98219999999999996</v>
      </c>
      <c r="I233" t="s">
        <v>410</v>
      </c>
      <c r="J233" s="2">
        <v>44879</v>
      </c>
      <c r="K233" s="4">
        <v>46189</v>
      </c>
      <c r="L233" t="s">
        <v>18</v>
      </c>
      <c r="M233">
        <v>6</v>
      </c>
      <c r="N233" t="str">
        <f t="shared" si="6"/>
        <v>mayor a 2 años</v>
      </c>
      <c r="O233" s="3">
        <f t="shared" si="7"/>
        <v>43.666666666666664</v>
      </c>
    </row>
    <row r="234" spans="1:15" x14ac:dyDescent="0.3">
      <c r="A234" t="s">
        <v>37</v>
      </c>
      <c r="B234">
        <v>628</v>
      </c>
      <c r="C234" t="s">
        <v>411</v>
      </c>
      <c r="D234" t="s">
        <v>16</v>
      </c>
      <c r="E234">
        <v>330</v>
      </c>
      <c r="F234">
        <v>16.72</v>
      </c>
      <c r="G234">
        <v>14</v>
      </c>
      <c r="H234" s="1">
        <v>1.1088</v>
      </c>
      <c r="I234" t="s">
        <v>412</v>
      </c>
      <c r="J234" s="2">
        <v>44867</v>
      </c>
      <c r="K234" s="4">
        <v>46189</v>
      </c>
      <c r="L234" t="s">
        <v>18</v>
      </c>
      <c r="M234">
        <v>4</v>
      </c>
      <c r="N234" t="str">
        <f t="shared" si="6"/>
        <v>mayor a 2 años</v>
      </c>
      <c r="O234" s="3">
        <f t="shared" si="7"/>
        <v>44.06666666666667</v>
      </c>
    </row>
    <row r="235" spans="1:15" x14ac:dyDescent="0.3">
      <c r="A235" t="s">
        <v>37</v>
      </c>
      <c r="B235">
        <v>447</v>
      </c>
      <c r="C235" t="s">
        <v>413</v>
      </c>
      <c r="D235" t="s">
        <v>25</v>
      </c>
      <c r="E235">
        <v>1231</v>
      </c>
      <c r="F235">
        <v>14.38</v>
      </c>
      <c r="G235">
        <v>14</v>
      </c>
      <c r="H235" s="1">
        <v>0.9536</v>
      </c>
      <c r="I235" t="s">
        <v>414</v>
      </c>
      <c r="J235" s="2">
        <v>44855</v>
      </c>
      <c r="K235" s="4">
        <v>46189</v>
      </c>
      <c r="L235" t="s">
        <v>18</v>
      </c>
      <c r="M235">
        <v>15</v>
      </c>
      <c r="N235" t="str">
        <f t="shared" si="6"/>
        <v>mayor a 2 años</v>
      </c>
      <c r="O235" s="3">
        <f t="shared" si="7"/>
        <v>44.466666666666669</v>
      </c>
    </row>
    <row r="236" spans="1:15" x14ac:dyDescent="0.3">
      <c r="A236" t="s">
        <v>100</v>
      </c>
      <c r="B236">
        <v>205</v>
      </c>
      <c r="C236" t="s">
        <v>415</v>
      </c>
      <c r="D236" t="s">
        <v>16</v>
      </c>
      <c r="E236">
        <v>628</v>
      </c>
      <c r="F236">
        <v>16.79</v>
      </c>
      <c r="G236">
        <v>14</v>
      </c>
      <c r="H236" s="1">
        <v>1.1138999999999999</v>
      </c>
      <c r="I236" t="s">
        <v>416</v>
      </c>
      <c r="J236" s="2">
        <v>44840</v>
      </c>
      <c r="K236" s="4">
        <v>46189</v>
      </c>
      <c r="L236" t="s">
        <v>18</v>
      </c>
      <c r="M236">
        <v>1212</v>
      </c>
      <c r="N236" t="str">
        <f t="shared" si="6"/>
        <v>mayor a 2 años</v>
      </c>
      <c r="O236" s="3">
        <f t="shared" si="7"/>
        <v>44.966666666666669</v>
      </c>
    </row>
    <row r="237" spans="1:15" x14ac:dyDescent="0.3">
      <c r="A237" t="s">
        <v>37</v>
      </c>
      <c r="B237">
        <v>213</v>
      </c>
      <c r="C237" t="s">
        <v>417</v>
      </c>
      <c r="D237" t="s">
        <v>127</v>
      </c>
      <c r="E237">
        <v>2713</v>
      </c>
      <c r="F237">
        <v>16.45</v>
      </c>
      <c r="G237">
        <v>14</v>
      </c>
      <c r="H237" s="1">
        <v>1.091</v>
      </c>
      <c r="I237" t="s">
        <v>418</v>
      </c>
      <c r="J237" s="2">
        <v>44835</v>
      </c>
      <c r="K237" s="4">
        <v>46189</v>
      </c>
      <c r="L237" t="s">
        <v>18</v>
      </c>
      <c r="M237">
        <v>120</v>
      </c>
      <c r="N237" t="str">
        <f t="shared" si="6"/>
        <v>mayor a 2 años</v>
      </c>
      <c r="O237" s="3">
        <f t="shared" si="7"/>
        <v>45.133333333333333</v>
      </c>
    </row>
    <row r="238" spans="1:15" x14ac:dyDescent="0.3">
      <c r="A238" t="s">
        <v>110</v>
      </c>
      <c r="B238">
        <v>236</v>
      </c>
      <c r="C238" t="s">
        <v>419</v>
      </c>
      <c r="D238" t="s">
        <v>43</v>
      </c>
      <c r="E238">
        <v>1126</v>
      </c>
      <c r="F238">
        <v>11.24</v>
      </c>
      <c r="G238">
        <v>14</v>
      </c>
      <c r="H238" s="1">
        <v>0.74519999999999997</v>
      </c>
      <c r="I238" t="s">
        <v>420</v>
      </c>
      <c r="J238" s="2">
        <v>44834</v>
      </c>
      <c r="K238" s="4">
        <v>46189</v>
      </c>
      <c r="L238" t="s">
        <v>18</v>
      </c>
      <c r="M238">
        <v>14</v>
      </c>
      <c r="N238" t="str">
        <f t="shared" si="6"/>
        <v>mayor a 2 años</v>
      </c>
      <c r="O238" s="3">
        <f t="shared" si="7"/>
        <v>45.166666666666664</v>
      </c>
    </row>
    <row r="239" spans="1:15" x14ac:dyDescent="0.3">
      <c r="A239" t="s">
        <v>26</v>
      </c>
      <c r="B239">
        <v>129</v>
      </c>
      <c r="C239" t="s">
        <v>421</v>
      </c>
      <c r="D239" t="s">
        <v>16</v>
      </c>
      <c r="E239">
        <v>1211</v>
      </c>
      <c r="F239">
        <v>13.24</v>
      </c>
      <c r="G239">
        <v>14</v>
      </c>
      <c r="H239" s="1">
        <v>0.87839999999999996</v>
      </c>
      <c r="I239" t="s">
        <v>422</v>
      </c>
      <c r="J239" s="2">
        <v>44825</v>
      </c>
      <c r="K239" s="4">
        <v>46189</v>
      </c>
      <c r="L239" t="s">
        <v>18</v>
      </c>
      <c r="M239">
        <v>889</v>
      </c>
      <c r="N239" t="str">
        <f t="shared" si="6"/>
        <v>mayor a 2 años</v>
      </c>
      <c r="O239" s="3">
        <f t="shared" si="7"/>
        <v>45.466666666666669</v>
      </c>
    </row>
    <row r="240" spans="1:15" x14ac:dyDescent="0.3">
      <c r="A240" t="s">
        <v>26</v>
      </c>
      <c r="B240">
        <v>126</v>
      </c>
      <c r="C240" t="s">
        <v>423</v>
      </c>
      <c r="D240" t="s">
        <v>25</v>
      </c>
      <c r="E240">
        <v>562</v>
      </c>
      <c r="F240">
        <v>13.24</v>
      </c>
      <c r="G240">
        <v>14</v>
      </c>
      <c r="H240" s="1">
        <v>0.87829999999999997</v>
      </c>
      <c r="I240" t="s">
        <v>422</v>
      </c>
      <c r="J240" s="2">
        <v>44825</v>
      </c>
      <c r="K240" s="4">
        <v>46189</v>
      </c>
      <c r="L240" t="s">
        <v>18</v>
      </c>
      <c r="M240">
        <v>326</v>
      </c>
      <c r="N240" t="str">
        <f t="shared" si="6"/>
        <v>mayor a 2 años</v>
      </c>
      <c r="O240" s="3">
        <f t="shared" si="7"/>
        <v>45.466666666666669</v>
      </c>
    </row>
    <row r="241" spans="1:15" x14ac:dyDescent="0.3">
      <c r="A241" t="s">
        <v>29</v>
      </c>
      <c r="B241">
        <v>116</v>
      </c>
      <c r="C241" t="s">
        <v>424</v>
      </c>
      <c r="D241" t="s">
        <v>25</v>
      </c>
      <c r="E241">
        <v>1083</v>
      </c>
      <c r="F241">
        <v>19.829999999999998</v>
      </c>
      <c r="G241">
        <v>28</v>
      </c>
      <c r="H241" s="1">
        <v>1.3156000000000001</v>
      </c>
      <c r="I241" t="s">
        <v>425</v>
      </c>
      <c r="J241" s="2">
        <v>44823</v>
      </c>
      <c r="K241" s="4">
        <v>46189</v>
      </c>
      <c r="L241" t="s">
        <v>18</v>
      </c>
      <c r="M241">
        <v>3067</v>
      </c>
      <c r="N241" t="str">
        <f t="shared" si="6"/>
        <v>mayor a 2 años</v>
      </c>
      <c r="O241" s="3">
        <f t="shared" si="7"/>
        <v>45.533333333333331</v>
      </c>
    </row>
    <row r="242" spans="1:15" x14ac:dyDescent="0.3">
      <c r="A242" t="s">
        <v>37</v>
      </c>
      <c r="B242">
        <v>432</v>
      </c>
      <c r="C242" t="s">
        <v>426</v>
      </c>
      <c r="D242" t="s">
        <v>16</v>
      </c>
      <c r="E242">
        <v>496</v>
      </c>
      <c r="F242">
        <v>14.42</v>
      </c>
      <c r="G242">
        <v>14</v>
      </c>
      <c r="H242" s="1">
        <v>0.95620000000000005</v>
      </c>
      <c r="I242" t="s">
        <v>427</v>
      </c>
      <c r="J242" s="2">
        <v>44784</v>
      </c>
      <c r="K242" s="4">
        <v>46189</v>
      </c>
      <c r="L242" t="s">
        <v>18</v>
      </c>
      <c r="M242">
        <v>13</v>
      </c>
      <c r="N242" t="str">
        <f t="shared" si="6"/>
        <v>mayor a 2 años</v>
      </c>
      <c r="O242" s="3">
        <f t="shared" si="7"/>
        <v>46.833333333333336</v>
      </c>
    </row>
    <row r="243" spans="1:15" x14ac:dyDescent="0.3">
      <c r="A243" t="s">
        <v>110</v>
      </c>
      <c r="B243">
        <v>116</v>
      </c>
      <c r="C243" t="s">
        <v>428</v>
      </c>
      <c r="D243" t="s">
        <v>25</v>
      </c>
      <c r="E243">
        <v>1235</v>
      </c>
      <c r="F243">
        <v>12.71</v>
      </c>
      <c r="G243">
        <v>14</v>
      </c>
      <c r="H243" s="1">
        <v>0.84319999999999995</v>
      </c>
      <c r="I243" t="s">
        <v>429</v>
      </c>
      <c r="J243" s="2">
        <v>44743</v>
      </c>
      <c r="K243" s="4">
        <v>46189</v>
      </c>
      <c r="L243" t="s">
        <v>18</v>
      </c>
      <c r="M243">
        <v>7</v>
      </c>
      <c r="N243" t="str">
        <f t="shared" si="6"/>
        <v>mayor a 2 años</v>
      </c>
      <c r="O243" s="3">
        <f t="shared" si="7"/>
        <v>48.2</v>
      </c>
    </row>
    <row r="244" spans="1:15" x14ac:dyDescent="0.3">
      <c r="A244" t="s">
        <v>110</v>
      </c>
      <c r="B244">
        <v>200</v>
      </c>
      <c r="C244" t="s">
        <v>430</v>
      </c>
      <c r="D244" t="s">
        <v>16</v>
      </c>
      <c r="E244">
        <v>1553</v>
      </c>
      <c r="F244">
        <v>15.18</v>
      </c>
      <c r="G244">
        <v>14</v>
      </c>
      <c r="H244" s="1">
        <v>1.0065</v>
      </c>
      <c r="I244" t="s">
        <v>429</v>
      </c>
      <c r="J244" s="2">
        <v>44743</v>
      </c>
      <c r="K244" s="4">
        <v>46189</v>
      </c>
      <c r="L244" t="s">
        <v>18</v>
      </c>
      <c r="M244">
        <v>414</v>
      </c>
      <c r="N244" t="str">
        <f t="shared" si="6"/>
        <v>mayor a 2 años</v>
      </c>
      <c r="O244" s="3">
        <f t="shared" si="7"/>
        <v>48.2</v>
      </c>
    </row>
    <row r="245" spans="1:15" x14ac:dyDescent="0.3">
      <c r="A245" t="s">
        <v>110</v>
      </c>
      <c r="B245">
        <v>219</v>
      </c>
      <c r="C245" t="s">
        <v>431</v>
      </c>
      <c r="D245" t="s">
        <v>16</v>
      </c>
      <c r="E245">
        <v>1877</v>
      </c>
      <c r="F245">
        <v>22.47</v>
      </c>
      <c r="G245">
        <v>14</v>
      </c>
      <c r="H245" s="1">
        <v>1.4902</v>
      </c>
      <c r="I245" t="s">
        <v>429</v>
      </c>
      <c r="J245" s="2">
        <v>44743</v>
      </c>
      <c r="K245" s="4">
        <v>46189</v>
      </c>
      <c r="L245" t="s">
        <v>18</v>
      </c>
      <c r="M245">
        <v>2307</v>
      </c>
      <c r="N245" t="str">
        <f t="shared" si="6"/>
        <v>mayor a 2 años</v>
      </c>
      <c r="O245" s="3">
        <f t="shared" si="7"/>
        <v>48.2</v>
      </c>
    </row>
    <row r="246" spans="1:15" x14ac:dyDescent="0.3">
      <c r="A246" t="s">
        <v>110</v>
      </c>
      <c r="B246">
        <v>81</v>
      </c>
      <c r="C246" t="s">
        <v>432</v>
      </c>
      <c r="D246" t="s">
        <v>127</v>
      </c>
      <c r="E246">
        <v>2279</v>
      </c>
      <c r="F246">
        <v>13.89</v>
      </c>
      <c r="G246">
        <v>14</v>
      </c>
      <c r="H246" s="1">
        <v>0.92159999999999997</v>
      </c>
      <c r="I246" t="s">
        <v>429</v>
      </c>
      <c r="J246" s="2">
        <v>44743</v>
      </c>
      <c r="K246" s="4">
        <v>46189</v>
      </c>
      <c r="L246" t="s">
        <v>18</v>
      </c>
      <c r="M246">
        <v>2981</v>
      </c>
      <c r="N246" t="str">
        <f t="shared" si="6"/>
        <v>mayor a 2 años</v>
      </c>
      <c r="O246" s="3">
        <f t="shared" si="7"/>
        <v>48.2</v>
      </c>
    </row>
    <row r="247" spans="1:15" x14ac:dyDescent="0.3">
      <c r="A247" t="s">
        <v>110</v>
      </c>
      <c r="B247">
        <v>107</v>
      </c>
      <c r="C247" t="s">
        <v>433</v>
      </c>
      <c r="D247" t="s">
        <v>16</v>
      </c>
      <c r="E247">
        <v>1124</v>
      </c>
      <c r="F247">
        <v>12.01</v>
      </c>
      <c r="G247">
        <v>14</v>
      </c>
      <c r="H247" s="1">
        <v>0.79669999999999996</v>
      </c>
      <c r="I247" t="s">
        <v>429</v>
      </c>
      <c r="J247" s="2">
        <v>44743</v>
      </c>
      <c r="K247" s="4">
        <v>46189</v>
      </c>
      <c r="L247" t="s">
        <v>18</v>
      </c>
      <c r="M247">
        <v>6</v>
      </c>
      <c r="N247" t="str">
        <f t="shared" si="6"/>
        <v>mayor a 2 años</v>
      </c>
      <c r="O247" s="3">
        <f t="shared" si="7"/>
        <v>48.2</v>
      </c>
    </row>
    <row r="248" spans="1:15" x14ac:dyDescent="0.3">
      <c r="A248" t="s">
        <v>110</v>
      </c>
      <c r="B248">
        <v>384</v>
      </c>
      <c r="C248" t="s">
        <v>434</v>
      </c>
      <c r="D248" t="s">
        <v>43</v>
      </c>
      <c r="E248">
        <v>2836</v>
      </c>
      <c r="F248">
        <v>15.96</v>
      </c>
      <c r="G248">
        <v>14</v>
      </c>
      <c r="H248" s="1">
        <v>1.0583</v>
      </c>
      <c r="I248" t="s">
        <v>429</v>
      </c>
      <c r="J248" s="2">
        <v>44743</v>
      </c>
      <c r="K248" s="4">
        <v>46189</v>
      </c>
      <c r="L248" t="s">
        <v>18</v>
      </c>
      <c r="M248">
        <v>2243</v>
      </c>
      <c r="N248" t="str">
        <f t="shared" si="6"/>
        <v>mayor a 2 años</v>
      </c>
      <c r="O248" s="3">
        <f t="shared" si="7"/>
        <v>48.2</v>
      </c>
    </row>
    <row r="249" spans="1:15" x14ac:dyDescent="0.3">
      <c r="A249" t="s">
        <v>110</v>
      </c>
      <c r="B249">
        <v>120</v>
      </c>
      <c r="C249" t="s">
        <v>435</v>
      </c>
      <c r="D249" t="s">
        <v>16</v>
      </c>
      <c r="E249">
        <v>973</v>
      </c>
      <c r="F249">
        <v>12.3</v>
      </c>
      <c r="G249">
        <v>14</v>
      </c>
      <c r="H249" s="1">
        <v>0.81559999999999999</v>
      </c>
      <c r="I249" t="s">
        <v>429</v>
      </c>
      <c r="J249" s="2">
        <v>44743</v>
      </c>
      <c r="K249" s="4">
        <v>46189</v>
      </c>
      <c r="L249" t="s">
        <v>18</v>
      </c>
      <c r="M249">
        <v>758</v>
      </c>
      <c r="N249" t="str">
        <f t="shared" si="6"/>
        <v>mayor a 2 años</v>
      </c>
      <c r="O249" s="3">
        <f t="shared" si="7"/>
        <v>48.2</v>
      </c>
    </row>
    <row r="250" spans="1:15" x14ac:dyDescent="0.3">
      <c r="A250" t="s">
        <v>110</v>
      </c>
      <c r="B250">
        <v>118</v>
      </c>
      <c r="C250" t="s">
        <v>436</v>
      </c>
      <c r="D250" t="s">
        <v>43</v>
      </c>
      <c r="E250">
        <v>1166</v>
      </c>
      <c r="F250">
        <v>11.96</v>
      </c>
      <c r="G250">
        <v>14</v>
      </c>
      <c r="H250" s="1">
        <v>0.79300000000000004</v>
      </c>
      <c r="I250" t="s">
        <v>429</v>
      </c>
      <c r="J250" s="2">
        <v>44743</v>
      </c>
      <c r="K250" s="4">
        <v>46189</v>
      </c>
      <c r="L250" t="s">
        <v>18</v>
      </c>
      <c r="M250">
        <v>8</v>
      </c>
      <c r="N250" t="str">
        <f t="shared" si="6"/>
        <v>mayor a 2 años</v>
      </c>
      <c r="O250" s="3">
        <f t="shared" si="7"/>
        <v>48.2</v>
      </c>
    </row>
    <row r="251" spans="1:15" x14ac:dyDescent="0.3">
      <c r="A251" t="s">
        <v>110</v>
      </c>
      <c r="B251">
        <v>144</v>
      </c>
      <c r="C251" t="s">
        <v>437</v>
      </c>
      <c r="D251" t="s">
        <v>39</v>
      </c>
      <c r="E251">
        <v>925</v>
      </c>
      <c r="F251">
        <v>11.5</v>
      </c>
      <c r="G251">
        <v>14</v>
      </c>
      <c r="H251" s="1">
        <v>0.76290000000000002</v>
      </c>
      <c r="I251" t="s">
        <v>429</v>
      </c>
      <c r="J251" s="2">
        <v>44743</v>
      </c>
      <c r="K251" s="4">
        <v>46189</v>
      </c>
      <c r="L251" t="s">
        <v>18</v>
      </c>
      <c r="M251">
        <v>365</v>
      </c>
      <c r="N251" t="str">
        <f t="shared" si="6"/>
        <v>mayor a 2 años</v>
      </c>
      <c r="O251" s="3">
        <f t="shared" si="7"/>
        <v>48.2</v>
      </c>
    </row>
    <row r="252" spans="1:15" x14ac:dyDescent="0.3">
      <c r="A252" t="s">
        <v>110</v>
      </c>
      <c r="B252">
        <v>360</v>
      </c>
      <c r="C252" t="s">
        <v>438</v>
      </c>
      <c r="D252" t="s">
        <v>25</v>
      </c>
      <c r="E252">
        <v>1464</v>
      </c>
      <c r="F252">
        <v>13.14</v>
      </c>
      <c r="G252">
        <v>14</v>
      </c>
      <c r="H252" s="1">
        <v>0.87160000000000004</v>
      </c>
      <c r="I252" t="s">
        <v>429</v>
      </c>
      <c r="J252" s="2">
        <v>44743</v>
      </c>
      <c r="K252" s="4">
        <v>46189</v>
      </c>
      <c r="L252" t="s">
        <v>18</v>
      </c>
      <c r="M252">
        <v>922</v>
      </c>
      <c r="N252" t="str">
        <f t="shared" si="6"/>
        <v>mayor a 2 años</v>
      </c>
      <c r="O252" s="3">
        <f t="shared" si="7"/>
        <v>48.2</v>
      </c>
    </row>
    <row r="253" spans="1:15" x14ac:dyDescent="0.3">
      <c r="A253" t="s">
        <v>110</v>
      </c>
      <c r="B253">
        <v>119</v>
      </c>
      <c r="C253" t="s">
        <v>439</v>
      </c>
      <c r="D253" t="s">
        <v>43</v>
      </c>
      <c r="E253">
        <v>1650</v>
      </c>
      <c r="F253">
        <v>14.08</v>
      </c>
      <c r="G253">
        <v>14</v>
      </c>
      <c r="H253" s="1">
        <v>0.93379999999999996</v>
      </c>
      <c r="I253" t="s">
        <v>429</v>
      </c>
      <c r="J253" s="2">
        <v>44743</v>
      </c>
      <c r="K253" s="4">
        <v>46189</v>
      </c>
      <c r="L253" t="s">
        <v>18</v>
      </c>
      <c r="M253">
        <v>465</v>
      </c>
      <c r="N253" t="str">
        <f t="shared" si="6"/>
        <v>mayor a 2 años</v>
      </c>
      <c r="O253" s="3">
        <f t="shared" si="7"/>
        <v>48.2</v>
      </c>
    </row>
    <row r="254" spans="1:15" x14ac:dyDescent="0.3">
      <c r="A254" t="s">
        <v>110</v>
      </c>
      <c r="B254">
        <v>191</v>
      </c>
      <c r="C254" t="s">
        <v>440</v>
      </c>
      <c r="D254" t="s">
        <v>43</v>
      </c>
      <c r="E254">
        <v>976</v>
      </c>
      <c r="F254">
        <v>17.7</v>
      </c>
      <c r="G254">
        <v>14</v>
      </c>
      <c r="H254" s="1">
        <v>1.1738999999999999</v>
      </c>
      <c r="I254" t="s">
        <v>429</v>
      </c>
      <c r="J254" s="2">
        <v>44743</v>
      </c>
      <c r="K254" s="4">
        <v>46189</v>
      </c>
      <c r="L254" t="s">
        <v>18</v>
      </c>
      <c r="M254">
        <v>1112</v>
      </c>
      <c r="N254" t="str">
        <f t="shared" si="6"/>
        <v>mayor a 2 años</v>
      </c>
      <c r="O254" s="3">
        <f t="shared" si="7"/>
        <v>48.2</v>
      </c>
    </row>
    <row r="255" spans="1:15" x14ac:dyDescent="0.3">
      <c r="A255" t="s">
        <v>110</v>
      </c>
      <c r="B255">
        <v>221</v>
      </c>
      <c r="C255" t="s">
        <v>441</v>
      </c>
      <c r="D255" t="s">
        <v>25</v>
      </c>
      <c r="E255">
        <v>1139</v>
      </c>
      <c r="F255">
        <v>13.77</v>
      </c>
      <c r="G255">
        <v>14</v>
      </c>
      <c r="H255" s="1">
        <v>0.91349999999999998</v>
      </c>
      <c r="I255" t="s">
        <v>429</v>
      </c>
      <c r="J255" s="2">
        <v>44743</v>
      </c>
      <c r="K255" s="4">
        <v>46189</v>
      </c>
      <c r="L255" t="s">
        <v>18</v>
      </c>
      <c r="M255">
        <v>1438</v>
      </c>
      <c r="N255" t="str">
        <f t="shared" si="6"/>
        <v>mayor a 2 años</v>
      </c>
      <c r="O255" s="3">
        <f t="shared" si="7"/>
        <v>48.2</v>
      </c>
    </row>
    <row r="256" spans="1:15" x14ac:dyDescent="0.3">
      <c r="A256" t="s">
        <v>110</v>
      </c>
      <c r="B256">
        <v>6</v>
      </c>
      <c r="C256" t="s">
        <v>442</v>
      </c>
      <c r="D256" t="s">
        <v>39</v>
      </c>
      <c r="E256">
        <v>1507</v>
      </c>
      <c r="F256">
        <v>15.04</v>
      </c>
      <c r="G256">
        <v>14</v>
      </c>
      <c r="H256" s="1">
        <v>0.99729999999999996</v>
      </c>
      <c r="I256" t="s">
        <v>429</v>
      </c>
      <c r="J256" s="2">
        <v>44743</v>
      </c>
      <c r="K256" s="4">
        <v>46189</v>
      </c>
      <c r="L256" t="s">
        <v>18</v>
      </c>
      <c r="M256">
        <v>23</v>
      </c>
      <c r="N256" t="str">
        <f t="shared" si="6"/>
        <v>mayor a 2 años</v>
      </c>
      <c r="O256" s="3">
        <f t="shared" si="7"/>
        <v>48.2</v>
      </c>
    </row>
    <row r="257" spans="1:15" x14ac:dyDescent="0.3">
      <c r="A257" t="s">
        <v>48</v>
      </c>
      <c r="B257">
        <v>172</v>
      </c>
      <c r="C257" t="s">
        <v>443</v>
      </c>
      <c r="D257" t="s">
        <v>16</v>
      </c>
      <c r="E257">
        <v>1171</v>
      </c>
      <c r="F257">
        <v>13.39</v>
      </c>
      <c r="G257">
        <v>15</v>
      </c>
      <c r="H257" s="1">
        <v>0.88790000000000002</v>
      </c>
      <c r="I257" t="s">
        <v>429</v>
      </c>
      <c r="J257" s="2">
        <v>44743</v>
      </c>
      <c r="K257" s="4">
        <v>46189</v>
      </c>
      <c r="L257" t="s">
        <v>18</v>
      </c>
      <c r="M257">
        <v>1161</v>
      </c>
      <c r="N257" t="str">
        <f t="shared" si="6"/>
        <v>mayor a 2 años</v>
      </c>
      <c r="O257" s="3">
        <f t="shared" si="7"/>
        <v>48.2</v>
      </c>
    </row>
    <row r="258" spans="1:15" x14ac:dyDescent="0.3">
      <c r="A258" t="s">
        <v>48</v>
      </c>
      <c r="B258">
        <v>219</v>
      </c>
      <c r="C258" t="s">
        <v>444</v>
      </c>
      <c r="D258" t="s">
        <v>127</v>
      </c>
      <c r="E258">
        <v>2419</v>
      </c>
      <c r="F258">
        <v>16.05</v>
      </c>
      <c r="G258">
        <v>15</v>
      </c>
      <c r="H258" s="1">
        <v>1.0647</v>
      </c>
      <c r="I258" t="s">
        <v>429</v>
      </c>
      <c r="J258" s="2">
        <v>44743</v>
      </c>
      <c r="K258" s="4">
        <v>46189</v>
      </c>
      <c r="L258" t="s">
        <v>18</v>
      </c>
      <c r="M258">
        <v>2384</v>
      </c>
      <c r="N258" t="str">
        <f t="shared" si="6"/>
        <v>mayor a 2 años</v>
      </c>
      <c r="O258" s="3">
        <f t="shared" si="7"/>
        <v>48.2</v>
      </c>
    </row>
    <row r="259" spans="1:15" x14ac:dyDescent="0.3">
      <c r="A259" t="s">
        <v>105</v>
      </c>
      <c r="B259">
        <v>352</v>
      </c>
      <c r="C259" t="s">
        <v>445</v>
      </c>
      <c r="D259" t="s">
        <v>25</v>
      </c>
      <c r="E259">
        <v>1081</v>
      </c>
      <c r="F259">
        <v>14.12</v>
      </c>
      <c r="G259">
        <v>14</v>
      </c>
      <c r="H259" s="1">
        <v>0.93669999999999998</v>
      </c>
      <c r="I259" t="s">
        <v>429</v>
      </c>
      <c r="J259" s="2">
        <v>44743</v>
      </c>
      <c r="K259" s="4">
        <v>46189</v>
      </c>
      <c r="L259" t="s">
        <v>18</v>
      </c>
      <c r="M259">
        <v>1254</v>
      </c>
      <c r="N259" t="str">
        <f t="shared" ref="N259:N319" si="8">+IF(O259&lt;=3,"0 a 3 meses",IF(O259&lt;=6,"3 meses a 6 meses",IF(O259&lt;=12,"6 meses a 12 meses",IF(O259&lt;=24,"1 año a 2 años","mayor a 2 años"))))</f>
        <v>mayor a 2 años</v>
      </c>
      <c r="O259" s="3">
        <f t="shared" ref="O259:O319" si="9">+(K259-J259)/30</f>
        <v>48.2</v>
      </c>
    </row>
    <row r="260" spans="1:15" x14ac:dyDescent="0.3">
      <c r="A260" t="s">
        <v>105</v>
      </c>
      <c r="B260">
        <v>343</v>
      </c>
      <c r="C260" t="s">
        <v>446</v>
      </c>
      <c r="D260" t="s">
        <v>127</v>
      </c>
      <c r="E260">
        <v>2572</v>
      </c>
      <c r="F260">
        <v>16.32</v>
      </c>
      <c r="G260">
        <v>14</v>
      </c>
      <c r="H260" s="1">
        <v>1.0823</v>
      </c>
      <c r="I260" t="s">
        <v>429</v>
      </c>
      <c r="J260" s="2">
        <v>44743</v>
      </c>
      <c r="K260" s="4">
        <v>46189</v>
      </c>
      <c r="L260" t="s">
        <v>18</v>
      </c>
      <c r="M260">
        <v>4556</v>
      </c>
      <c r="N260" t="str">
        <f t="shared" si="8"/>
        <v>mayor a 2 años</v>
      </c>
      <c r="O260" s="3">
        <f t="shared" si="9"/>
        <v>48.2</v>
      </c>
    </row>
    <row r="261" spans="1:15" x14ac:dyDescent="0.3">
      <c r="A261" t="s">
        <v>105</v>
      </c>
      <c r="B261">
        <v>8</v>
      </c>
      <c r="C261" t="s">
        <v>447</v>
      </c>
      <c r="D261" t="s">
        <v>25</v>
      </c>
      <c r="E261">
        <v>1264</v>
      </c>
      <c r="F261">
        <v>12.01</v>
      </c>
      <c r="G261">
        <v>14</v>
      </c>
      <c r="H261" s="1">
        <v>0.79690000000000005</v>
      </c>
      <c r="I261" t="s">
        <v>429</v>
      </c>
      <c r="J261" s="2">
        <v>44743</v>
      </c>
      <c r="K261" s="4">
        <v>46189</v>
      </c>
      <c r="L261" t="s">
        <v>18</v>
      </c>
      <c r="M261">
        <v>174</v>
      </c>
      <c r="N261" t="str">
        <f t="shared" si="8"/>
        <v>mayor a 2 años</v>
      </c>
      <c r="O261" s="3">
        <f t="shared" si="9"/>
        <v>48.2</v>
      </c>
    </row>
    <row r="262" spans="1:15" x14ac:dyDescent="0.3">
      <c r="A262" t="s">
        <v>105</v>
      </c>
      <c r="B262">
        <v>161</v>
      </c>
      <c r="C262" t="s">
        <v>448</v>
      </c>
      <c r="D262" t="s">
        <v>25</v>
      </c>
      <c r="E262">
        <v>787</v>
      </c>
      <c r="F262">
        <v>17.850000000000001</v>
      </c>
      <c r="G262">
        <v>14</v>
      </c>
      <c r="H262" s="1">
        <v>1.1841999999999999</v>
      </c>
      <c r="I262" t="s">
        <v>429</v>
      </c>
      <c r="J262" s="2">
        <v>44743</v>
      </c>
      <c r="K262" s="4">
        <v>46189</v>
      </c>
      <c r="L262" t="s">
        <v>18</v>
      </c>
      <c r="M262">
        <v>1526</v>
      </c>
      <c r="N262" t="str">
        <f t="shared" si="8"/>
        <v>mayor a 2 años</v>
      </c>
      <c r="O262" s="3">
        <f t="shared" si="9"/>
        <v>48.2</v>
      </c>
    </row>
    <row r="263" spans="1:15" x14ac:dyDescent="0.3">
      <c r="A263" t="s">
        <v>105</v>
      </c>
      <c r="B263">
        <v>287</v>
      </c>
      <c r="C263" t="s">
        <v>449</v>
      </c>
      <c r="D263" t="s">
        <v>16</v>
      </c>
      <c r="E263">
        <v>1038</v>
      </c>
      <c r="F263">
        <v>9.65</v>
      </c>
      <c r="G263">
        <v>14</v>
      </c>
      <c r="H263" s="1">
        <v>0.63990000000000002</v>
      </c>
      <c r="I263" t="s">
        <v>429</v>
      </c>
      <c r="J263" s="2">
        <v>44743</v>
      </c>
      <c r="K263" s="4">
        <v>46189</v>
      </c>
      <c r="L263" t="s">
        <v>18</v>
      </c>
      <c r="M263">
        <v>7</v>
      </c>
      <c r="N263" t="str">
        <f t="shared" si="8"/>
        <v>mayor a 2 años</v>
      </c>
      <c r="O263" s="3">
        <f t="shared" si="9"/>
        <v>48.2</v>
      </c>
    </row>
    <row r="264" spans="1:15" x14ac:dyDescent="0.3">
      <c r="A264" t="s">
        <v>105</v>
      </c>
      <c r="B264">
        <v>58</v>
      </c>
      <c r="C264" t="s">
        <v>450</v>
      </c>
      <c r="D264" t="s">
        <v>25</v>
      </c>
      <c r="E264">
        <v>1158</v>
      </c>
      <c r="F264">
        <v>11.83</v>
      </c>
      <c r="G264">
        <v>14</v>
      </c>
      <c r="H264" s="1">
        <v>0.78480000000000005</v>
      </c>
      <c r="I264" t="s">
        <v>429</v>
      </c>
      <c r="J264" s="2">
        <v>44743</v>
      </c>
      <c r="K264" s="4">
        <v>46189</v>
      </c>
      <c r="L264" t="s">
        <v>18</v>
      </c>
      <c r="M264">
        <v>487</v>
      </c>
      <c r="N264" t="str">
        <f t="shared" si="8"/>
        <v>mayor a 2 años</v>
      </c>
      <c r="O264" s="3">
        <f t="shared" si="9"/>
        <v>48.2</v>
      </c>
    </row>
    <row r="265" spans="1:15" x14ac:dyDescent="0.3">
      <c r="A265" t="s">
        <v>105</v>
      </c>
      <c r="B265">
        <v>134</v>
      </c>
      <c r="C265" t="s">
        <v>451</v>
      </c>
      <c r="D265" t="s">
        <v>43</v>
      </c>
      <c r="E265">
        <v>1146</v>
      </c>
      <c r="F265">
        <v>22.86</v>
      </c>
      <c r="G265">
        <v>14</v>
      </c>
      <c r="H265" s="1">
        <v>1.5161</v>
      </c>
      <c r="I265" t="s">
        <v>429</v>
      </c>
      <c r="J265" s="2">
        <v>44743</v>
      </c>
      <c r="K265" s="4">
        <v>46189</v>
      </c>
      <c r="L265" t="s">
        <v>18</v>
      </c>
      <c r="M265">
        <v>4902</v>
      </c>
      <c r="N265" t="str">
        <f t="shared" si="8"/>
        <v>mayor a 2 años</v>
      </c>
      <c r="O265" s="3">
        <f t="shared" si="9"/>
        <v>48.2</v>
      </c>
    </row>
    <row r="266" spans="1:15" x14ac:dyDescent="0.3">
      <c r="A266" t="s">
        <v>105</v>
      </c>
      <c r="B266">
        <v>72</v>
      </c>
      <c r="C266" t="s">
        <v>452</v>
      </c>
      <c r="D266" t="s">
        <v>39</v>
      </c>
      <c r="E266">
        <v>843</v>
      </c>
      <c r="F266">
        <v>11.9</v>
      </c>
      <c r="G266">
        <v>14</v>
      </c>
      <c r="H266" s="1">
        <v>0.78910000000000002</v>
      </c>
      <c r="I266" t="s">
        <v>429</v>
      </c>
      <c r="J266" s="2">
        <v>44743</v>
      </c>
      <c r="K266" s="4">
        <v>46189</v>
      </c>
      <c r="L266" t="s">
        <v>18</v>
      </c>
      <c r="M266">
        <v>2</v>
      </c>
      <c r="N266" t="str">
        <f t="shared" si="8"/>
        <v>mayor a 2 años</v>
      </c>
      <c r="O266" s="3">
        <f t="shared" si="9"/>
        <v>48.2</v>
      </c>
    </row>
    <row r="267" spans="1:15" x14ac:dyDescent="0.3">
      <c r="A267" t="s">
        <v>105</v>
      </c>
      <c r="B267">
        <v>192</v>
      </c>
      <c r="C267" t="s">
        <v>453</v>
      </c>
      <c r="D267" t="s">
        <v>25</v>
      </c>
      <c r="E267">
        <v>1045</v>
      </c>
      <c r="F267">
        <v>13.65</v>
      </c>
      <c r="G267">
        <v>14</v>
      </c>
      <c r="H267" s="1">
        <v>0.90539999999999998</v>
      </c>
      <c r="I267" t="s">
        <v>429</v>
      </c>
      <c r="J267" s="2">
        <v>44743</v>
      </c>
      <c r="K267" s="4">
        <v>46189</v>
      </c>
      <c r="L267" t="s">
        <v>18</v>
      </c>
      <c r="M267">
        <v>1582</v>
      </c>
      <c r="N267" t="str">
        <f t="shared" si="8"/>
        <v>mayor a 2 años</v>
      </c>
      <c r="O267" s="3">
        <f t="shared" si="9"/>
        <v>48.2</v>
      </c>
    </row>
    <row r="268" spans="1:15" x14ac:dyDescent="0.3">
      <c r="A268" t="s">
        <v>105</v>
      </c>
      <c r="B268">
        <v>283</v>
      </c>
      <c r="C268" t="s">
        <v>454</v>
      </c>
      <c r="D268" t="s">
        <v>39</v>
      </c>
      <c r="E268">
        <v>966</v>
      </c>
      <c r="F268">
        <v>14.37</v>
      </c>
      <c r="G268">
        <v>14</v>
      </c>
      <c r="H268" s="1">
        <v>0.95330000000000004</v>
      </c>
      <c r="I268" t="s">
        <v>429</v>
      </c>
      <c r="J268" s="2">
        <v>44743</v>
      </c>
      <c r="K268" s="4">
        <v>46189</v>
      </c>
      <c r="L268" t="s">
        <v>18</v>
      </c>
      <c r="M268">
        <v>2525</v>
      </c>
      <c r="N268" t="str">
        <f t="shared" si="8"/>
        <v>mayor a 2 años</v>
      </c>
      <c r="O268" s="3">
        <f t="shared" si="9"/>
        <v>48.2</v>
      </c>
    </row>
    <row r="269" spans="1:15" x14ac:dyDescent="0.3">
      <c r="A269" t="s">
        <v>105</v>
      </c>
      <c r="B269">
        <v>294</v>
      </c>
      <c r="C269" t="s">
        <v>455</v>
      </c>
      <c r="D269" t="s">
        <v>39</v>
      </c>
      <c r="E269">
        <v>776</v>
      </c>
      <c r="F269">
        <v>12.95</v>
      </c>
      <c r="G269">
        <v>14</v>
      </c>
      <c r="H269" s="1">
        <v>0.85880000000000001</v>
      </c>
      <c r="I269" t="s">
        <v>429</v>
      </c>
      <c r="J269" s="2">
        <v>44743</v>
      </c>
      <c r="K269" s="4">
        <v>46189</v>
      </c>
      <c r="L269" t="s">
        <v>18</v>
      </c>
      <c r="M269">
        <v>441</v>
      </c>
      <c r="N269" t="str">
        <f t="shared" si="8"/>
        <v>mayor a 2 años</v>
      </c>
      <c r="O269" s="3">
        <f t="shared" si="9"/>
        <v>48.2</v>
      </c>
    </row>
    <row r="270" spans="1:15" x14ac:dyDescent="0.3">
      <c r="A270" t="s">
        <v>105</v>
      </c>
      <c r="B270">
        <v>322</v>
      </c>
      <c r="C270" t="s">
        <v>456</v>
      </c>
      <c r="D270" t="s">
        <v>16</v>
      </c>
      <c r="E270">
        <v>940</v>
      </c>
      <c r="F270">
        <v>12.86</v>
      </c>
      <c r="G270">
        <v>14</v>
      </c>
      <c r="H270" s="1">
        <v>0.85299999999999998</v>
      </c>
      <c r="I270" t="s">
        <v>429</v>
      </c>
      <c r="J270" s="2">
        <v>44743</v>
      </c>
      <c r="K270" s="4">
        <v>46189</v>
      </c>
      <c r="L270" t="s">
        <v>18</v>
      </c>
      <c r="M270">
        <v>9</v>
      </c>
      <c r="N270" t="str">
        <f t="shared" si="8"/>
        <v>mayor a 2 años</v>
      </c>
      <c r="O270" s="3">
        <f t="shared" si="9"/>
        <v>48.2</v>
      </c>
    </row>
    <row r="271" spans="1:15" x14ac:dyDescent="0.3">
      <c r="A271" t="s">
        <v>105</v>
      </c>
      <c r="B271">
        <v>285</v>
      </c>
      <c r="C271" t="s">
        <v>457</v>
      </c>
      <c r="D271" t="s">
        <v>127</v>
      </c>
      <c r="E271">
        <v>2415</v>
      </c>
      <c r="F271">
        <v>15.54</v>
      </c>
      <c r="G271">
        <v>14</v>
      </c>
      <c r="H271" s="1">
        <v>1.0306</v>
      </c>
      <c r="I271" t="s">
        <v>429</v>
      </c>
      <c r="J271" s="2">
        <v>44743</v>
      </c>
      <c r="K271" s="4">
        <v>46189</v>
      </c>
      <c r="L271" t="s">
        <v>18</v>
      </c>
      <c r="M271">
        <v>2095</v>
      </c>
      <c r="N271" t="str">
        <f t="shared" si="8"/>
        <v>mayor a 2 años</v>
      </c>
      <c r="O271" s="3">
        <f t="shared" si="9"/>
        <v>48.2</v>
      </c>
    </row>
    <row r="272" spans="1:15" x14ac:dyDescent="0.3">
      <c r="A272" t="s">
        <v>105</v>
      </c>
      <c r="B272">
        <v>143</v>
      </c>
      <c r="C272" t="s">
        <v>458</v>
      </c>
      <c r="D272" t="s">
        <v>16</v>
      </c>
      <c r="E272">
        <v>1391</v>
      </c>
      <c r="F272">
        <v>21.71</v>
      </c>
      <c r="G272">
        <v>14</v>
      </c>
      <c r="H272" s="1">
        <v>1.4397</v>
      </c>
      <c r="I272" t="s">
        <v>429</v>
      </c>
      <c r="J272" s="2">
        <v>44743</v>
      </c>
      <c r="K272" s="4">
        <v>46189</v>
      </c>
      <c r="L272" t="s">
        <v>18</v>
      </c>
      <c r="M272">
        <v>4804</v>
      </c>
      <c r="N272" t="str">
        <f t="shared" si="8"/>
        <v>mayor a 2 años</v>
      </c>
      <c r="O272" s="3">
        <f t="shared" si="9"/>
        <v>48.2</v>
      </c>
    </row>
    <row r="273" spans="1:15" x14ac:dyDescent="0.3">
      <c r="A273" t="s">
        <v>105</v>
      </c>
      <c r="B273">
        <v>349</v>
      </c>
      <c r="C273" t="s">
        <v>459</v>
      </c>
      <c r="D273" t="s">
        <v>25</v>
      </c>
      <c r="E273">
        <v>726</v>
      </c>
      <c r="F273">
        <v>14.25</v>
      </c>
      <c r="G273">
        <v>14</v>
      </c>
      <c r="H273" s="1">
        <v>0.94510000000000005</v>
      </c>
      <c r="I273" t="s">
        <v>429</v>
      </c>
      <c r="J273" s="2">
        <v>44743</v>
      </c>
      <c r="K273" s="4">
        <v>46189</v>
      </c>
      <c r="L273" t="s">
        <v>18</v>
      </c>
      <c r="M273">
        <v>6</v>
      </c>
      <c r="N273" t="str">
        <f t="shared" si="8"/>
        <v>mayor a 2 años</v>
      </c>
      <c r="O273" s="3">
        <f t="shared" si="9"/>
        <v>48.2</v>
      </c>
    </row>
    <row r="274" spans="1:15" x14ac:dyDescent="0.3">
      <c r="A274" t="s">
        <v>105</v>
      </c>
      <c r="B274">
        <v>127</v>
      </c>
      <c r="C274" t="s">
        <v>460</v>
      </c>
      <c r="D274" t="s">
        <v>43</v>
      </c>
      <c r="E274">
        <v>1114</v>
      </c>
      <c r="F274">
        <v>14.26</v>
      </c>
      <c r="G274">
        <v>14</v>
      </c>
      <c r="H274" s="1">
        <v>0.94569999999999999</v>
      </c>
      <c r="I274" t="s">
        <v>429</v>
      </c>
      <c r="J274" s="2">
        <v>44743</v>
      </c>
      <c r="K274" s="4">
        <v>46189</v>
      </c>
      <c r="L274" t="s">
        <v>18</v>
      </c>
      <c r="M274">
        <v>2129</v>
      </c>
      <c r="N274" t="str">
        <f t="shared" si="8"/>
        <v>mayor a 2 años</v>
      </c>
      <c r="O274" s="3">
        <f t="shared" si="9"/>
        <v>48.2</v>
      </c>
    </row>
    <row r="275" spans="1:15" x14ac:dyDescent="0.3">
      <c r="A275" t="s">
        <v>105</v>
      </c>
      <c r="B275">
        <v>6</v>
      </c>
      <c r="C275" t="s">
        <v>461</v>
      </c>
      <c r="D275" t="s">
        <v>16</v>
      </c>
      <c r="E275">
        <v>1011</v>
      </c>
      <c r="F275">
        <v>19.97</v>
      </c>
      <c r="G275">
        <v>14</v>
      </c>
      <c r="H275" s="1">
        <v>1.3246</v>
      </c>
      <c r="I275" t="s">
        <v>429</v>
      </c>
      <c r="J275" s="2">
        <v>44743</v>
      </c>
      <c r="K275" s="4">
        <v>46189</v>
      </c>
      <c r="L275" t="s">
        <v>18</v>
      </c>
      <c r="M275">
        <v>3836</v>
      </c>
      <c r="N275" t="str">
        <f t="shared" si="8"/>
        <v>mayor a 2 años</v>
      </c>
      <c r="O275" s="3">
        <f t="shared" si="9"/>
        <v>48.2</v>
      </c>
    </row>
    <row r="276" spans="1:15" x14ac:dyDescent="0.3">
      <c r="A276" t="s">
        <v>105</v>
      </c>
      <c r="B276">
        <v>154</v>
      </c>
      <c r="C276" t="s">
        <v>462</v>
      </c>
      <c r="D276" t="s">
        <v>16</v>
      </c>
      <c r="E276">
        <v>1397</v>
      </c>
      <c r="F276">
        <v>19.309999999999999</v>
      </c>
      <c r="G276">
        <v>14</v>
      </c>
      <c r="H276" s="1">
        <v>1.2808999999999999</v>
      </c>
      <c r="I276" t="s">
        <v>429</v>
      </c>
      <c r="J276" s="2">
        <v>44743</v>
      </c>
      <c r="K276" s="4">
        <v>46189</v>
      </c>
      <c r="L276" t="s">
        <v>18</v>
      </c>
      <c r="M276">
        <v>4914</v>
      </c>
      <c r="N276" t="str">
        <f t="shared" si="8"/>
        <v>mayor a 2 años</v>
      </c>
      <c r="O276" s="3">
        <f t="shared" si="9"/>
        <v>48.2</v>
      </c>
    </row>
    <row r="277" spans="1:15" x14ac:dyDescent="0.3">
      <c r="A277" t="s">
        <v>14</v>
      </c>
      <c r="B277">
        <v>86</v>
      </c>
      <c r="C277" t="s">
        <v>463</v>
      </c>
      <c r="D277" t="s">
        <v>16</v>
      </c>
      <c r="E277">
        <v>1624</v>
      </c>
      <c r="F277">
        <v>14.74</v>
      </c>
      <c r="G277">
        <v>14</v>
      </c>
      <c r="H277" s="1">
        <v>0.97789999999999999</v>
      </c>
      <c r="I277" t="s">
        <v>429</v>
      </c>
      <c r="J277" s="2">
        <v>44743</v>
      </c>
      <c r="K277" s="4">
        <v>46189</v>
      </c>
      <c r="L277" t="s">
        <v>18</v>
      </c>
      <c r="M277">
        <v>648</v>
      </c>
      <c r="N277" t="str">
        <f t="shared" si="8"/>
        <v>mayor a 2 años</v>
      </c>
      <c r="O277" s="3">
        <f t="shared" si="9"/>
        <v>48.2</v>
      </c>
    </row>
    <row r="278" spans="1:15" x14ac:dyDescent="0.3">
      <c r="A278" t="s">
        <v>14</v>
      </c>
      <c r="B278">
        <v>29</v>
      </c>
      <c r="C278" t="s">
        <v>464</v>
      </c>
      <c r="D278" t="s">
        <v>127</v>
      </c>
      <c r="E278">
        <v>314</v>
      </c>
      <c r="F278">
        <v>13.59</v>
      </c>
      <c r="G278">
        <v>14</v>
      </c>
      <c r="H278" s="1">
        <v>0.90139999999999998</v>
      </c>
      <c r="I278" t="s">
        <v>429</v>
      </c>
      <c r="J278" s="2">
        <v>44743</v>
      </c>
      <c r="K278" s="4">
        <v>46189</v>
      </c>
      <c r="L278" t="s">
        <v>18</v>
      </c>
      <c r="M278">
        <v>410</v>
      </c>
      <c r="N278" t="str">
        <f t="shared" si="8"/>
        <v>mayor a 2 años</v>
      </c>
      <c r="O278" s="3">
        <f t="shared" si="9"/>
        <v>48.2</v>
      </c>
    </row>
    <row r="279" spans="1:15" x14ac:dyDescent="0.3">
      <c r="A279" t="s">
        <v>14</v>
      </c>
      <c r="B279">
        <v>34</v>
      </c>
      <c r="C279" t="s">
        <v>465</v>
      </c>
      <c r="D279" t="s">
        <v>43</v>
      </c>
      <c r="E279">
        <v>1326</v>
      </c>
      <c r="F279">
        <v>15.31</v>
      </c>
      <c r="G279">
        <v>14</v>
      </c>
      <c r="H279" s="1">
        <v>1.0152000000000001</v>
      </c>
      <c r="I279" t="s">
        <v>429</v>
      </c>
      <c r="J279" s="2">
        <v>44743</v>
      </c>
      <c r="K279" s="4">
        <v>46189</v>
      </c>
      <c r="L279" t="s">
        <v>18</v>
      </c>
      <c r="M279">
        <v>1283</v>
      </c>
      <c r="N279" t="str">
        <f t="shared" si="8"/>
        <v>mayor a 2 años</v>
      </c>
      <c r="O279" s="3">
        <f t="shared" si="9"/>
        <v>48.2</v>
      </c>
    </row>
    <row r="280" spans="1:15" x14ac:dyDescent="0.3">
      <c r="A280" t="s">
        <v>100</v>
      </c>
      <c r="B280">
        <v>82</v>
      </c>
      <c r="C280" t="s">
        <v>466</v>
      </c>
      <c r="D280" t="s">
        <v>127</v>
      </c>
      <c r="E280">
        <v>2090</v>
      </c>
      <c r="F280">
        <v>14.91</v>
      </c>
      <c r="G280">
        <v>14</v>
      </c>
      <c r="H280" s="1">
        <v>0.98919999999999997</v>
      </c>
      <c r="I280" t="s">
        <v>429</v>
      </c>
      <c r="J280" s="2">
        <v>44743</v>
      </c>
      <c r="K280" s="4">
        <v>46189</v>
      </c>
      <c r="L280" t="s">
        <v>18</v>
      </c>
      <c r="M280">
        <v>421</v>
      </c>
      <c r="N280" t="str">
        <f t="shared" si="8"/>
        <v>mayor a 2 años</v>
      </c>
      <c r="O280" s="3">
        <f t="shared" si="9"/>
        <v>48.2</v>
      </c>
    </row>
    <row r="281" spans="1:15" x14ac:dyDescent="0.3">
      <c r="A281" t="s">
        <v>100</v>
      </c>
      <c r="B281">
        <v>75</v>
      </c>
      <c r="C281" t="s">
        <v>467</v>
      </c>
      <c r="D281" t="s">
        <v>16</v>
      </c>
      <c r="E281">
        <v>1425</v>
      </c>
      <c r="F281">
        <v>19.95</v>
      </c>
      <c r="G281">
        <v>14</v>
      </c>
      <c r="H281" s="1">
        <v>1.323</v>
      </c>
      <c r="I281" t="s">
        <v>429</v>
      </c>
      <c r="J281" s="2">
        <v>44743</v>
      </c>
      <c r="K281" s="4">
        <v>46189</v>
      </c>
      <c r="L281" t="s">
        <v>18</v>
      </c>
      <c r="M281">
        <v>2848</v>
      </c>
      <c r="N281" t="str">
        <f t="shared" si="8"/>
        <v>mayor a 2 años</v>
      </c>
      <c r="O281" s="3">
        <f t="shared" si="9"/>
        <v>48.2</v>
      </c>
    </row>
    <row r="282" spans="1:15" x14ac:dyDescent="0.3">
      <c r="A282" t="s">
        <v>100</v>
      </c>
      <c r="B282">
        <v>74</v>
      </c>
      <c r="C282" t="s">
        <v>468</v>
      </c>
      <c r="D282" t="s">
        <v>127</v>
      </c>
      <c r="E282">
        <v>1994</v>
      </c>
      <c r="F282">
        <v>12.8</v>
      </c>
      <c r="G282">
        <v>14</v>
      </c>
      <c r="H282" s="1">
        <v>0.84919999999999995</v>
      </c>
      <c r="I282" t="s">
        <v>429</v>
      </c>
      <c r="J282" s="2">
        <v>44743</v>
      </c>
      <c r="K282" s="4">
        <v>46189</v>
      </c>
      <c r="L282" t="s">
        <v>18</v>
      </c>
      <c r="M282">
        <v>433</v>
      </c>
      <c r="N282" t="str">
        <f t="shared" si="8"/>
        <v>mayor a 2 años</v>
      </c>
      <c r="O282" s="3">
        <f t="shared" si="9"/>
        <v>48.2</v>
      </c>
    </row>
    <row r="283" spans="1:15" x14ac:dyDescent="0.3">
      <c r="A283" t="s">
        <v>37</v>
      </c>
      <c r="B283">
        <v>233</v>
      </c>
      <c r="C283" t="s">
        <v>469</v>
      </c>
      <c r="D283" t="s">
        <v>25</v>
      </c>
      <c r="E283">
        <v>1036</v>
      </c>
      <c r="F283">
        <v>14.69</v>
      </c>
      <c r="G283">
        <v>14</v>
      </c>
      <c r="H283" s="1">
        <v>0.97440000000000004</v>
      </c>
      <c r="I283" t="s">
        <v>429</v>
      </c>
      <c r="J283" s="2">
        <v>44743</v>
      </c>
      <c r="K283" s="4">
        <v>46189</v>
      </c>
      <c r="L283" t="s">
        <v>18</v>
      </c>
      <c r="M283">
        <v>25</v>
      </c>
      <c r="N283" t="str">
        <f t="shared" si="8"/>
        <v>mayor a 2 años</v>
      </c>
      <c r="O283" s="3">
        <f t="shared" si="9"/>
        <v>48.2</v>
      </c>
    </row>
    <row r="284" spans="1:15" x14ac:dyDescent="0.3">
      <c r="A284" t="s">
        <v>37</v>
      </c>
      <c r="B284">
        <v>625</v>
      </c>
      <c r="C284" t="s">
        <v>470</v>
      </c>
      <c r="D284" t="s">
        <v>127</v>
      </c>
      <c r="E284">
        <v>574</v>
      </c>
      <c r="F284">
        <v>15.45</v>
      </c>
      <c r="G284">
        <v>14</v>
      </c>
      <c r="H284" s="1">
        <v>1.0246</v>
      </c>
      <c r="I284" t="s">
        <v>429</v>
      </c>
      <c r="J284" s="2">
        <v>44743</v>
      </c>
      <c r="K284" s="4">
        <v>46189</v>
      </c>
      <c r="L284" t="s">
        <v>18</v>
      </c>
      <c r="M284">
        <v>2</v>
      </c>
      <c r="N284" t="str">
        <f t="shared" si="8"/>
        <v>mayor a 2 años</v>
      </c>
      <c r="O284" s="3">
        <f t="shared" si="9"/>
        <v>48.2</v>
      </c>
    </row>
    <row r="285" spans="1:15" x14ac:dyDescent="0.3">
      <c r="A285" t="s">
        <v>37</v>
      </c>
      <c r="B285">
        <v>616</v>
      </c>
      <c r="C285" t="s">
        <v>471</v>
      </c>
      <c r="D285" t="s">
        <v>127</v>
      </c>
      <c r="E285">
        <v>2278</v>
      </c>
      <c r="F285">
        <v>14.37</v>
      </c>
      <c r="G285">
        <v>14</v>
      </c>
      <c r="H285" s="1">
        <v>0.95309999999999995</v>
      </c>
      <c r="I285" t="s">
        <v>429</v>
      </c>
      <c r="J285" s="2">
        <v>44743</v>
      </c>
      <c r="K285" s="4">
        <v>46189</v>
      </c>
      <c r="L285" t="s">
        <v>18</v>
      </c>
      <c r="M285">
        <v>35</v>
      </c>
      <c r="N285" t="str">
        <f t="shared" si="8"/>
        <v>mayor a 2 años</v>
      </c>
      <c r="O285" s="3">
        <f t="shared" si="9"/>
        <v>48.2</v>
      </c>
    </row>
    <row r="286" spans="1:15" x14ac:dyDescent="0.3">
      <c r="A286" t="s">
        <v>37</v>
      </c>
      <c r="B286">
        <v>106</v>
      </c>
      <c r="C286" t="s">
        <v>472</v>
      </c>
      <c r="D286" t="s">
        <v>127</v>
      </c>
      <c r="E286">
        <v>2843</v>
      </c>
      <c r="F286">
        <v>14.27</v>
      </c>
      <c r="G286">
        <v>14</v>
      </c>
      <c r="H286" s="1">
        <v>0.94640000000000002</v>
      </c>
      <c r="I286" t="s">
        <v>429</v>
      </c>
      <c r="J286" s="2">
        <v>44743</v>
      </c>
      <c r="K286" s="4">
        <v>46189</v>
      </c>
      <c r="L286" t="s">
        <v>18</v>
      </c>
      <c r="M286">
        <v>27</v>
      </c>
      <c r="N286" t="str">
        <f t="shared" si="8"/>
        <v>mayor a 2 años</v>
      </c>
      <c r="O286" s="3">
        <f t="shared" si="9"/>
        <v>48.2</v>
      </c>
    </row>
    <row r="287" spans="1:15" x14ac:dyDescent="0.3">
      <c r="A287" t="s">
        <v>37</v>
      </c>
      <c r="B287">
        <v>12</v>
      </c>
      <c r="C287" t="s">
        <v>473</v>
      </c>
      <c r="D287" t="s">
        <v>25</v>
      </c>
      <c r="E287">
        <v>1339</v>
      </c>
      <c r="F287">
        <v>13.63</v>
      </c>
      <c r="G287">
        <v>14</v>
      </c>
      <c r="H287" s="1">
        <v>0.90369999999999995</v>
      </c>
      <c r="I287" t="s">
        <v>429</v>
      </c>
      <c r="J287" s="2">
        <v>44743</v>
      </c>
      <c r="K287" s="4">
        <v>46189</v>
      </c>
      <c r="L287" t="s">
        <v>18</v>
      </c>
      <c r="M287">
        <v>13</v>
      </c>
      <c r="N287" t="str">
        <f t="shared" si="8"/>
        <v>mayor a 2 años</v>
      </c>
      <c r="O287" s="3">
        <f t="shared" si="9"/>
        <v>48.2</v>
      </c>
    </row>
    <row r="288" spans="1:15" x14ac:dyDescent="0.3">
      <c r="A288" t="s">
        <v>37</v>
      </c>
      <c r="B288">
        <v>510</v>
      </c>
      <c r="C288" t="s">
        <v>474</v>
      </c>
      <c r="D288" t="s">
        <v>25</v>
      </c>
      <c r="E288">
        <v>1147</v>
      </c>
      <c r="F288">
        <v>14.22</v>
      </c>
      <c r="G288">
        <v>14</v>
      </c>
      <c r="H288" s="1">
        <v>0.94350000000000001</v>
      </c>
      <c r="I288" t="s">
        <v>429</v>
      </c>
      <c r="J288" s="2">
        <v>44743</v>
      </c>
      <c r="K288" s="4">
        <v>46189</v>
      </c>
      <c r="L288" t="s">
        <v>18</v>
      </c>
      <c r="M288">
        <v>10</v>
      </c>
      <c r="N288" t="str">
        <f t="shared" si="8"/>
        <v>mayor a 2 años</v>
      </c>
      <c r="O288" s="3">
        <f t="shared" si="9"/>
        <v>48.2</v>
      </c>
    </row>
    <row r="289" spans="1:15" x14ac:dyDescent="0.3">
      <c r="A289" t="s">
        <v>37</v>
      </c>
      <c r="B289">
        <v>364</v>
      </c>
      <c r="C289" t="s">
        <v>475</v>
      </c>
      <c r="D289" t="s">
        <v>16</v>
      </c>
      <c r="E289">
        <v>732</v>
      </c>
      <c r="F289">
        <v>16.77</v>
      </c>
      <c r="G289">
        <v>14</v>
      </c>
      <c r="H289" s="1">
        <v>1.1123000000000001</v>
      </c>
      <c r="I289" t="s">
        <v>429</v>
      </c>
      <c r="J289" s="2">
        <v>44743</v>
      </c>
      <c r="K289" s="4">
        <v>46189</v>
      </c>
      <c r="L289" t="s">
        <v>18</v>
      </c>
      <c r="M289">
        <v>16</v>
      </c>
      <c r="N289" t="str">
        <f t="shared" si="8"/>
        <v>mayor a 2 años</v>
      </c>
      <c r="O289" s="3">
        <f t="shared" si="9"/>
        <v>48.2</v>
      </c>
    </row>
    <row r="290" spans="1:15" x14ac:dyDescent="0.3">
      <c r="A290" t="s">
        <v>29</v>
      </c>
      <c r="B290">
        <v>40</v>
      </c>
      <c r="C290" t="s">
        <v>476</v>
      </c>
      <c r="D290" t="s">
        <v>127</v>
      </c>
      <c r="E290">
        <v>1705</v>
      </c>
      <c r="F290">
        <v>18.989999999999998</v>
      </c>
      <c r="G290">
        <v>28</v>
      </c>
      <c r="H290" s="1">
        <v>1.2594000000000001</v>
      </c>
      <c r="I290" t="s">
        <v>429</v>
      </c>
      <c r="J290" s="2">
        <v>44743</v>
      </c>
      <c r="K290" s="4">
        <v>46189</v>
      </c>
      <c r="L290" t="s">
        <v>18</v>
      </c>
      <c r="M290">
        <v>2324</v>
      </c>
      <c r="N290" t="str">
        <f t="shared" si="8"/>
        <v>mayor a 2 años</v>
      </c>
      <c r="O290" s="3">
        <f t="shared" si="9"/>
        <v>48.2</v>
      </c>
    </row>
    <row r="291" spans="1:15" x14ac:dyDescent="0.3">
      <c r="A291" t="s">
        <v>29</v>
      </c>
      <c r="B291">
        <v>110</v>
      </c>
      <c r="C291" t="s">
        <v>477</v>
      </c>
      <c r="D291" t="s">
        <v>16</v>
      </c>
      <c r="E291">
        <v>1203</v>
      </c>
      <c r="F291">
        <v>22.05</v>
      </c>
      <c r="G291">
        <v>28</v>
      </c>
      <c r="H291" s="1">
        <v>1.4628000000000001</v>
      </c>
      <c r="I291" t="s">
        <v>429</v>
      </c>
      <c r="J291" s="2">
        <v>44743</v>
      </c>
      <c r="K291" s="4">
        <v>46189</v>
      </c>
      <c r="L291" t="s">
        <v>18</v>
      </c>
      <c r="M291">
        <v>4444</v>
      </c>
      <c r="N291" t="str">
        <f t="shared" si="8"/>
        <v>mayor a 2 años</v>
      </c>
      <c r="O291" s="3">
        <f t="shared" si="9"/>
        <v>48.2</v>
      </c>
    </row>
    <row r="292" spans="1:15" x14ac:dyDescent="0.3">
      <c r="A292" t="s">
        <v>29</v>
      </c>
      <c r="B292">
        <v>2</v>
      </c>
      <c r="C292" t="s">
        <v>478</v>
      </c>
      <c r="D292" t="s">
        <v>25</v>
      </c>
      <c r="E292">
        <v>1191</v>
      </c>
      <c r="F292">
        <v>16.2</v>
      </c>
      <c r="G292">
        <v>28</v>
      </c>
      <c r="H292" s="1">
        <v>1.0747</v>
      </c>
      <c r="I292" t="s">
        <v>429</v>
      </c>
      <c r="J292" s="2">
        <v>44743</v>
      </c>
      <c r="K292" s="4">
        <v>46189</v>
      </c>
      <c r="L292" t="s">
        <v>18</v>
      </c>
      <c r="M292">
        <v>1275</v>
      </c>
      <c r="N292" t="str">
        <f t="shared" si="8"/>
        <v>mayor a 2 años</v>
      </c>
      <c r="O292" s="3">
        <f t="shared" si="9"/>
        <v>48.2</v>
      </c>
    </row>
    <row r="293" spans="1:15" x14ac:dyDescent="0.3">
      <c r="A293" t="s">
        <v>29</v>
      </c>
      <c r="B293">
        <v>32</v>
      </c>
      <c r="C293" t="s">
        <v>479</v>
      </c>
      <c r="D293" t="s">
        <v>39</v>
      </c>
      <c r="E293">
        <v>1032</v>
      </c>
      <c r="F293">
        <v>18.27</v>
      </c>
      <c r="G293">
        <v>28</v>
      </c>
      <c r="H293" s="1">
        <v>1.2119</v>
      </c>
      <c r="I293" t="s">
        <v>429</v>
      </c>
      <c r="J293" s="2">
        <v>44743</v>
      </c>
      <c r="K293" s="4">
        <v>46189</v>
      </c>
      <c r="L293" t="s">
        <v>18</v>
      </c>
      <c r="M293">
        <v>2229</v>
      </c>
      <c r="N293" t="str">
        <f t="shared" si="8"/>
        <v>mayor a 2 años</v>
      </c>
      <c r="O293" s="3">
        <f t="shared" si="9"/>
        <v>48.2</v>
      </c>
    </row>
    <row r="294" spans="1:15" x14ac:dyDescent="0.3">
      <c r="A294" t="s">
        <v>29</v>
      </c>
      <c r="B294">
        <v>24</v>
      </c>
      <c r="C294" t="s">
        <v>480</v>
      </c>
      <c r="D294" t="s">
        <v>127</v>
      </c>
      <c r="E294">
        <v>1917</v>
      </c>
      <c r="F294">
        <v>17.43</v>
      </c>
      <c r="G294">
        <v>28</v>
      </c>
      <c r="H294" s="1">
        <v>1.1557999999999999</v>
      </c>
      <c r="I294" t="s">
        <v>429</v>
      </c>
      <c r="J294" s="2">
        <v>44743</v>
      </c>
      <c r="K294" s="4">
        <v>46189</v>
      </c>
      <c r="L294" t="s">
        <v>18</v>
      </c>
      <c r="M294">
        <v>2398</v>
      </c>
      <c r="N294" t="str">
        <f t="shared" si="8"/>
        <v>mayor a 2 años</v>
      </c>
      <c r="O294" s="3">
        <f t="shared" si="9"/>
        <v>48.2</v>
      </c>
    </row>
    <row r="295" spans="1:15" x14ac:dyDescent="0.3">
      <c r="A295" t="s">
        <v>26</v>
      </c>
      <c r="B295">
        <v>94</v>
      </c>
      <c r="C295" t="s">
        <v>481</v>
      </c>
      <c r="D295" t="s">
        <v>43</v>
      </c>
      <c r="E295">
        <v>951</v>
      </c>
      <c r="F295">
        <v>12.85</v>
      </c>
      <c r="G295">
        <v>14</v>
      </c>
      <c r="H295" s="1">
        <v>0.85229999999999995</v>
      </c>
      <c r="I295" t="s">
        <v>429</v>
      </c>
      <c r="J295" s="2">
        <v>44743</v>
      </c>
      <c r="K295" s="4">
        <v>46189</v>
      </c>
      <c r="L295" t="s">
        <v>18</v>
      </c>
      <c r="M295">
        <v>18</v>
      </c>
      <c r="N295" t="str">
        <f t="shared" si="8"/>
        <v>mayor a 2 años</v>
      </c>
      <c r="O295" s="3">
        <f t="shared" si="9"/>
        <v>48.2</v>
      </c>
    </row>
    <row r="296" spans="1:15" x14ac:dyDescent="0.3">
      <c r="A296" t="s">
        <v>26</v>
      </c>
      <c r="B296">
        <v>105</v>
      </c>
      <c r="C296" t="s">
        <v>482</v>
      </c>
      <c r="D296" t="s">
        <v>43</v>
      </c>
      <c r="E296">
        <v>1013</v>
      </c>
      <c r="F296">
        <v>13.37</v>
      </c>
      <c r="G296">
        <v>14</v>
      </c>
      <c r="H296" s="1">
        <v>0.88690000000000002</v>
      </c>
      <c r="I296" t="s">
        <v>429</v>
      </c>
      <c r="J296" s="2">
        <v>44743</v>
      </c>
      <c r="K296" s="4">
        <v>46189</v>
      </c>
      <c r="L296" t="s">
        <v>18</v>
      </c>
      <c r="M296">
        <v>430</v>
      </c>
      <c r="N296" t="str">
        <f t="shared" si="8"/>
        <v>mayor a 2 años</v>
      </c>
      <c r="O296" s="3">
        <f t="shared" si="9"/>
        <v>48.2</v>
      </c>
    </row>
    <row r="297" spans="1:15" x14ac:dyDescent="0.3">
      <c r="A297" t="s">
        <v>26</v>
      </c>
      <c r="B297">
        <v>100</v>
      </c>
      <c r="C297" t="s">
        <v>483</v>
      </c>
      <c r="D297" t="s">
        <v>25</v>
      </c>
      <c r="E297">
        <v>895</v>
      </c>
      <c r="F297">
        <v>11.44</v>
      </c>
      <c r="G297">
        <v>14</v>
      </c>
      <c r="H297" s="1">
        <v>0.75900000000000001</v>
      </c>
      <c r="I297" t="s">
        <v>429</v>
      </c>
      <c r="J297" s="2">
        <v>44743</v>
      </c>
      <c r="K297" s="4">
        <v>46189</v>
      </c>
      <c r="L297" t="s">
        <v>18</v>
      </c>
      <c r="M297">
        <v>1012</v>
      </c>
      <c r="N297" t="str">
        <f t="shared" si="8"/>
        <v>mayor a 2 años</v>
      </c>
      <c r="O297" s="3">
        <f t="shared" si="9"/>
        <v>48.2</v>
      </c>
    </row>
    <row r="298" spans="1:15" x14ac:dyDescent="0.3">
      <c r="A298" t="s">
        <v>26</v>
      </c>
      <c r="B298">
        <v>85</v>
      </c>
      <c r="C298" t="s">
        <v>484</v>
      </c>
      <c r="D298" t="s">
        <v>127</v>
      </c>
      <c r="E298">
        <v>1264</v>
      </c>
      <c r="F298">
        <v>8.84</v>
      </c>
      <c r="G298">
        <v>14</v>
      </c>
      <c r="H298" s="1">
        <v>0.58620000000000005</v>
      </c>
      <c r="I298" t="s">
        <v>429</v>
      </c>
      <c r="J298" s="2">
        <v>44743</v>
      </c>
      <c r="K298" s="4">
        <v>46189</v>
      </c>
      <c r="L298" t="s">
        <v>18</v>
      </c>
      <c r="M298">
        <v>724</v>
      </c>
      <c r="N298" t="str">
        <f t="shared" si="8"/>
        <v>mayor a 2 años</v>
      </c>
      <c r="O298" s="3">
        <f t="shared" si="9"/>
        <v>48.2</v>
      </c>
    </row>
    <row r="299" spans="1:15" x14ac:dyDescent="0.3">
      <c r="A299" t="s">
        <v>26</v>
      </c>
      <c r="B299">
        <v>123</v>
      </c>
      <c r="C299" t="s">
        <v>485</v>
      </c>
      <c r="D299" t="s">
        <v>39</v>
      </c>
      <c r="E299">
        <v>482</v>
      </c>
      <c r="F299">
        <v>11.46</v>
      </c>
      <c r="G299">
        <v>14</v>
      </c>
      <c r="H299" s="1">
        <v>0.76029999999999998</v>
      </c>
      <c r="I299" t="s">
        <v>429</v>
      </c>
      <c r="J299" s="2">
        <v>44743</v>
      </c>
      <c r="K299" s="4">
        <v>46189</v>
      </c>
      <c r="L299" t="s">
        <v>18</v>
      </c>
      <c r="M299">
        <v>18</v>
      </c>
      <c r="N299" t="str">
        <f t="shared" si="8"/>
        <v>mayor a 2 años</v>
      </c>
      <c r="O299" s="3">
        <f t="shared" si="9"/>
        <v>48.2</v>
      </c>
    </row>
    <row r="300" spans="1:15" x14ac:dyDescent="0.3">
      <c r="A300" t="s">
        <v>26</v>
      </c>
      <c r="B300">
        <v>122</v>
      </c>
      <c r="C300" t="s">
        <v>486</v>
      </c>
      <c r="D300" t="s">
        <v>39</v>
      </c>
      <c r="E300">
        <v>445</v>
      </c>
      <c r="F300">
        <v>10.65</v>
      </c>
      <c r="G300">
        <v>14</v>
      </c>
      <c r="H300" s="1">
        <v>0.70650000000000002</v>
      </c>
      <c r="I300" t="s">
        <v>429</v>
      </c>
      <c r="J300" s="2">
        <v>44743</v>
      </c>
      <c r="K300" s="4">
        <v>46189</v>
      </c>
      <c r="L300" t="s">
        <v>18</v>
      </c>
      <c r="M300">
        <v>379</v>
      </c>
      <c r="N300" t="str">
        <f t="shared" si="8"/>
        <v>mayor a 2 años</v>
      </c>
      <c r="O300" s="3">
        <f t="shared" si="9"/>
        <v>48.2</v>
      </c>
    </row>
    <row r="301" spans="1:15" x14ac:dyDescent="0.3">
      <c r="A301" t="s">
        <v>26</v>
      </c>
      <c r="B301">
        <v>110</v>
      </c>
      <c r="C301" t="s">
        <v>487</v>
      </c>
      <c r="D301" t="s">
        <v>43</v>
      </c>
      <c r="E301">
        <v>699</v>
      </c>
      <c r="F301">
        <v>17.489999999999998</v>
      </c>
      <c r="G301">
        <v>14</v>
      </c>
      <c r="H301" s="1">
        <v>1.1597</v>
      </c>
      <c r="I301" t="s">
        <v>429</v>
      </c>
      <c r="J301" s="2">
        <v>44743</v>
      </c>
      <c r="K301" s="4">
        <v>46189</v>
      </c>
      <c r="L301" t="s">
        <v>18</v>
      </c>
      <c r="M301">
        <v>2737</v>
      </c>
      <c r="N301" t="str">
        <f t="shared" si="8"/>
        <v>mayor a 2 años</v>
      </c>
      <c r="O301" s="3">
        <f t="shared" si="9"/>
        <v>48.2</v>
      </c>
    </row>
    <row r="302" spans="1:15" x14ac:dyDescent="0.3">
      <c r="A302" t="s">
        <v>26</v>
      </c>
      <c r="B302">
        <v>80</v>
      </c>
      <c r="C302" t="s">
        <v>488</v>
      </c>
      <c r="D302" t="s">
        <v>25</v>
      </c>
      <c r="E302">
        <v>856</v>
      </c>
      <c r="F302">
        <v>12.77</v>
      </c>
      <c r="G302">
        <v>14</v>
      </c>
      <c r="H302" s="1">
        <v>0.84709999999999996</v>
      </c>
      <c r="I302" t="s">
        <v>429</v>
      </c>
      <c r="J302" s="2">
        <v>44743</v>
      </c>
      <c r="K302" s="4">
        <v>46189</v>
      </c>
      <c r="L302" t="s">
        <v>18</v>
      </c>
      <c r="M302">
        <v>367</v>
      </c>
      <c r="N302" t="str">
        <f t="shared" si="8"/>
        <v>mayor a 2 años</v>
      </c>
      <c r="O302" s="3">
        <f t="shared" si="9"/>
        <v>48.2</v>
      </c>
    </row>
    <row r="303" spans="1:15" x14ac:dyDescent="0.3">
      <c r="A303" t="s">
        <v>137</v>
      </c>
      <c r="B303">
        <v>71</v>
      </c>
      <c r="C303" t="s">
        <v>489</v>
      </c>
      <c r="D303" t="s">
        <v>16</v>
      </c>
      <c r="E303">
        <v>831</v>
      </c>
      <c r="F303">
        <v>13.68</v>
      </c>
      <c r="G303">
        <v>14</v>
      </c>
      <c r="H303" s="1">
        <v>0.90739999999999998</v>
      </c>
      <c r="I303" t="s">
        <v>429</v>
      </c>
      <c r="J303" s="2">
        <v>44743</v>
      </c>
      <c r="K303" s="4">
        <v>46189</v>
      </c>
      <c r="L303" t="s">
        <v>18</v>
      </c>
      <c r="M303">
        <v>8</v>
      </c>
      <c r="N303" t="str">
        <f t="shared" si="8"/>
        <v>mayor a 2 años</v>
      </c>
      <c r="O303" s="3">
        <f t="shared" si="9"/>
        <v>48.2</v>
      </c>
    </row>
    <row r="304" spans="1:15" x14ac:dyDescent="0.3">
      <c r="A304" t="s">
        <v>137</v>
      </c>
      <c r="B304">
        <v>219</v>
      </c>
      <c r="C304" t="s">
        <v>490</v>
      </c>
      <c r="D304" t="s">
        <v>25</v>
      </c>
      <c r="E304">
        <v>1147</v>
      </c>
      <c r="F304">
        <v>14.7</v>
      </c>
      <c r="G304">
        <v>14</v>
      </c>
      <c r="H304" s="1">
        <v>0.97499999999999998</v>
      </c>
      <c r="I304" t="s">
        <v>429</v>
      </c>
      <c r="J304" s="2">
        <v>44743</v>
      </c>
      <c r="K304" s="4">
        <v>46189</v>
      </c>
      <c r="L304" t="s">
        <v>18</v>
      </c>
      <c r="M304">
        <v>676</v>
      </c>
      <c r="N304" t="str">
        <f t="shared" si="8"/>
        <v>mayor a 2 años</v>
      </c>
      <c r="O304" s="3">
        <f t="shared" si="9"/>
        <v>48.2</v>
      </c>
    </row>
    <row r="305" spans="1:15" x14ac:dyDescent="0.3">
      <c r="A305" t="s">
        <v>137</v>
      </c>
      <c r="B305">
        <v>39</v>
      </c>
      <c r="C305" t="s">
        <v>491</v>
      </c>
      <c r="D305" t="s">
        <v>43</v>
      </c>
      <c r="E305">
        <v>790</v>
      </c>
      <c r="F305">
        <v>13.84</v>
      </c>
      <c r="G305">
        <v>14</v>
      </c>
      <c r="H305" s="1">
        <v>0.91820000000000002</v>
      </c>
      <c r="I305" t="s">
        <v>429</v>
      </c>
      <c r="J305" s="2">
        <v>44743</v>
      </c>
      <c r="K305" s="4">
        <v>46189</v>
      </c>
      <c r="L305" t="s">
        <v>18</v>
      </c>
      <c r="M305">
        <v>685</v>
      </c>
      <c r="N305" t="str">
        <f t="shared" si="8"/>
        <v>mayor a 2 años</v>
      </c>
      <c r="O305" s="3">
        <f t="shared" si="9"/>
        <v>48.2</v>
      </c>
    </row>
    <row r="306" spans="1:15" x14ac:dyDescent="0.3">
      <c r="A306" t="s">
        <v>137</v>
      </c>
      <c r="B306">
        <v>172</v>
      </c>
      <c r="C306" t="s">
        <v>492</v>
      </c>
      <c r="D306" t="s">
        <v>16</v>
      </c>
      <c r="E306">
        <v>937</v>
      </c>
      <c r="F306">
        <v>15.46</v>
      </c>
      <c r="G306">
        <v>14</v>
      </c>
      <c r="H306" s="1">
        <v>1.0256000000000001</v>
      </c>
      <c r="I306" t="s">
        <v>429</v>
      </c>
      <c r="J306" s="2">
        <v>44743</v>
      </c>
      <c r="K306" s="4">
        <v>46189</v>
      </c>
      <c r="L306" t="s">
        <v>18</v>
      </c>
      <c r="M306">
        <v>907</v>
      </c>
      <c r="N306" t="str">
        <f t="shared" si="8"/>
        <v>mayor a 2 años</v>
      </c>
      <c r="O306" s="3">
        <f t="shared" si="9"/>
        <v>48.2</v>
      </c>
    </row>
    <row r="307" spans="1:15" x14ac:dyDescent="0.3">
      <c r="A307" t="s">
        <v>137</v>
      </c>
      <c r="B307">
        <v>176</v>
      </c>
      <c r="C307" t="s">
        <v>493</v>
      </c>
      <c r="D307" t="s">
        <v>25</v>
      </c>
      <c r="E307">
        <v>1054</v>
      </c>
      <c r="F307">
        <v>15.53</v>
      </c>
      <c r="G307">
        <v>14</v>
      </c>
      <c r="H307" s="1">
        <v>1.0303</v>
      </c>
      <c r="I307" t="s">
        <v>429</v>
      </c>
      <c r="J307" s="2">
        <v>44743</v>
      </c>
      <c r="K307" s="4">
        <v>46189</v>
      </c>
      <c r="L307" t="s">
        <v>18</v>
      </c>
      <c r="M307">
        <v>918</v>
      </c>
      <c r="N307" t="str">
        <f t="shared" si="8"/>
        <v>mayor a 2 años</v>
      </c>
      <c r="O307" s="3">
        <f t="shared" si="9"/>
        <v>48.2</v>
      </c>
    </row>
    <row r="308" spans="1:15" x14ac:dyDescent="0.3">
      <c r="A308" t="s">
        <v>137</v>
      </c>
      <c r="B308">
        <v>73</v>
      </c>
      <c r="C308" t="s">
        <v>494</v>
      </c>
      <c r="D308" t="s">
        <v>16</v>
      </c>
      <c r="E308">
        <v>834</v>
      </c>
      <c r="F308">
        <v>13.4</v>
      </c>
      <c r="G308">
        <v>14</v>
      </c>
      <c r="H308" s="1">
        <v>0.88870000000000005</v>
      </c>
      <c r="I308" t="s">
        <v>429</v>
      </c>
      <c r="J308" s="2">
        <v>44743</v>
      </c>
      <c r="K308" s="4">
        <v>46189</v>
      </c>
      <c r="L308" t="s">
        <v>18</v>
      </c>
      <c r="M308">
        <v>886</v>
      </c>
      <c r="N308" t="str">
        <f t="shared" si="8"/>
        <v>mayor a 2 años</v>
      </c>
      <c r="O308" s="3">
        <f t="shared" si="9"/>
        <v>48.2</v>
      </c>
    </row>
    <row r="309" spans="1:15" x14ac:dyDescent="0.3">
      <c r="A309" t="s">
        <v>137</v>
      </c>
      <c r="B309">
        <v>190</v>
      </c>
      <c r="C309" t="s">
        <v>495</v>
      </c>
      <c r="D309" t="s">
        <v>25</v>
      </c>
      <c r="E309">
        <v>1149</v>
      </c>
      <c r="F309">
        <v>15.93</v>
      </c>
      <c r="G309">
        <v>14</v>
      </c>
      <c r="H309" s="1">
        <v>1.0564</v>
      </c>
      <c r="I309" t="s">
        <v>429</v>
      </c>
      <c r="J309" s="2">
        <v>44743</v>
      </c>
      <c r="K309" s="4">
        <v>46189</v>
      </c>
      <c r="L309" t="s">
        <v>18</v>
      </c>
      <c r="M309">
        <v>1678</v>
      </c>
      <c r="N309" t="str">
        <f t="shared" si="8"/>
        <v>mayor a 2 años</v>
      </c>
      <c r="O309" s="3">
        <f t="shared" si="9"/>
        <v>48.2</v>
      </c>
    </row>
    <row r="310" spans="1:15" x14ac:dyDescent="0.3">
      <c r="A310" t="s">
        <v>137</v>
      </c>
      <c r="B310">
        <v>183</v>
      </c>
      <c r="C310" t="s">
        <v>496</v>
      </c>
      <c r="D310" t="s">
        <v>25</v>
      </c>
      <c r="E310">
        <v>958</v>
      </c>
      <c r="F310">
        <v>12.8</v>
      </c>
      <c r="G310">
        <v>14</v>
      </c>
      <c r="H310" s="1">
        <v>0.84889999999999999</v>
      </c>
      <c r="I310" t="s">
        <v>429</v>
      </c>
      <c r="J310" s="2">
        <v>44743</v>
      </c>
      <c r="K310" s="4">
        <v>46189</v>
      </c>
      <c r="L310" t="s">
        <v>18</v>
      </c>
      <c r="M310">
        <v>622</v>
      </c>
      <c r="N310" t="str">
        <f t="shared" si="8"/>
        <v>mayor a 2 años</v>
      </c>
      <c r="O310" s="3">
        <f t="shared" si="9"/>
        <v>48.2</v>
      </c>
    </row>
    <row r="311" spans="1:15" x14ac:dyDescent="0.3">
      <c r="A311" t="s">
        <v>137</v>
      </c>
      <c r="B311">
        <v>130</v>
      </c>
      <c r="C311" t="s">
        <v>497</v>
      </c>
      <c r="D311" t="s">
        <v>43</v>
      </c>
      <c r="E311">
        <v>745</v>
      </c>
      <c r="F311">
        <v>16.559999999999999</v>
      </c>
      <c r="G311">
        <v>14</v>
      </c>
      <c r="H311" s="1">
        <v>1.0984</v>
      </c>
      <c r="I311" t="s">
        <v>429</v>
      </c>
      <c r="J311" s="2">
        <v>44743</v>
      </c>
      <c r="K311" s="4">
        <v>46189</v>
      </c>
      <c r="L311" t="s">
        <v>18</v>
      </c>
      <c r="M311">
        <v>1107</v>
      </c>
      <c r="N311" t="str">
        <f t="shared" si="8"/>
        <v>mayor a 2 años</v>
      </c>
      <c r="O311" s="3">
        <f t="shared" si="9"/>
        <v>48.2</v>
      </c>
    </row>
    <row r="312" spans="1:15" x14ac:dyDescent="0.3">
      <c r="A312" t="s">
        <v>137</v>
      </c>
      <c r="B312">
        <v>129</v>
      </c>
      <c r="C312" t="s">
        <v>498</v>
      </c>
      <c r="D312" t="s">
        <v>127</v>
      </c>
      <c r="E312">
        <v>1240</v>
      </c>
      <c r="F312">
        <v>14.23</v>
      </c>
      <c r="G312">
        <v>14</v>
      </c>
      <c r="H312" s="1">
        <v>0.94410000000000005</v>
      </c>
      <c r="I312" t="s">
        <v>429</v>
      </c>
      <c r="J312" s="2">
        <v>44743</v>
      </c>
      <c r="K312" s="4">
        <v>46189</v>
      </c>
      <c r="L312" t="s">
        <v>18</v>
      </c>
      <c r="M312">
        <v>1189</v>
      </c>
      <c r="N312" t="str">
        <f t="shared" si="8"/>
        <v>mayor a 2 años</v>
      </c>
      <c r="O312" s="3">
        <f t="shared" si="9"/>
        <v>48.2</v>
      </c>
    </row>
    <row r="313" spans="1:15" x14ac:dyDescent="0.3">
      <c r="A313" t="s">
        <v>137</v>
      </c>
      <c r="B313">
        <v>82</v>
      </c>
      <c r="C313" t="s">
        <v>499</v>
      </c>
      <c r="D313" t="s">
        <v>25</v>
      </c>
      <c r="E313">
        <v>1138</v>
      </c>
      <c r="F313">
        <v>13.73</v>
      </c>
      <c r="G313">
        <v>14</v>
      </c>
      <c r="H313" s="1">
        <v>0.91090000000000004</v>
      </c>
      <c r="I313" t="s">
        <v>429</v>
      </c>
      <c r="J313" s="2">
        <v>44743</v>
      </c>
      <c r="K313" s="4">
        <v>46189</v>
      </c>
      <c r="L313" t="s">
        <v>18</v>
      </c>
      <c r="M313">
        <v>36</v>
      </c>
      <c r="N313" t="str">
        <f t="shared" si="8"/>
        <v>mayor a 2 años</v>
      </c>
      <c r="O313" s="3">
        <f t="shared" si="9"/>
        <v>48.2</v>
      </c>
    </row>
    <row r="314" spans="1:15" x14ac:dyDescent="0.3">
      <c r="A314" t="s">
        <v>33</v>
      </c>
      <c r="B314">
        <v>81</v>
      </c>
      <c r="C314" t="s">
        <v>500</v>
      </c>
      <c r="D314" t="s">
        <v>43</v>
      </c>
      <c r="E314">
        <v>1039</v>
      </c>
      <c r="F314">
        <v>13.75</v>
      </c>
      <c r="G314">
        <v>14</v>
      </c>
      <c r="H314" s="1">
        <v>0.91190000000000004</v>
      </c>
      <c r="I314" t="s">
        <v>429</v>
      </c>
      <c r="J314" s="2">
        <v>44743</v>
      </c>
      <c r="K314" s="4">
        <v>46189</v>
      </c>
      <c r="L314" t="s">
        <v>18</v>
      </c>
      <c r="M314">
        <v>959</v>
      </c>
      <c r="N314" t="str">
        <f t="shared" si="8"/>
        <v>mayor a 2 años</v>
      </c>
      <c r="O314" s="3">
        <f t="shared" si="9"/>
        <v>48.2</v>
      </c>
    </row>
    <row r="315" spans="1:15" x14ac:dyDescent="0.3">
      <c r="A315" t="s">
        <v>33</v>
      </c>
      <c r="B315">
        <v>39</v>
      </c>
      <c r="C315" t="s">
        <v>501</v>
      </c>
      <c r="D315" t="s">
        <v>25</v>
      </c>
      <c r="E315">
        <v>1038</v>
      </c>
      <c r="F315">
        <v>12.08</v>
      </c>
      <c r="G315">
        <v>14</v>
      </c>
      <c r="H315" s="1">
        <v>0.80130000000000001</v>
      </c>
      <c r="I315" t="s">
        <v>429</v>
      </c>
      <c r="J315" s="2">
        <v>44743</v>
      </c>
      <c r="K315" s="4">
        <v>46189</v>
      </c>
      <c r="L315" t="s">
        <v>18</v>
      </c>
      <c r="M315">
        <v>11</v>
      </c>
      <c r="N315" t="str">
        <f t="shared" si="8"/>
        <v>mayor a 2 años</v>
      </c>
      <c r="O315" s="3">
        <f t="shared" si="9"/>
        <v>48.2</v>
      </c>
    </row>
    <row r="316" spans="1:15" x14ac:dyDescent="0.3">
      <c r="A316" t="s">
        <v>33</v>
      </c>
      <c r="B316">
        <v>70</v>
      </c>
      <c r="C316" t="s">
        <v>502</v>
      </c>
      <c r="D316" t="s">
        <v>127</v>
      </c>
      <c r="E316">
        <v>2354</v>
      </c>
      <c r="F316">
        <v>18.809999999999999</v>
      </c>
      <c r="G316">
        <v>14</v>
      </c>
      <c r="H316" s="1">
        <v>1.2477</v>
      </c>
      <c r="I316" t="s">
        <v>429</v>
      </c>
      <c r="J316" s="2">
        <v>44743</v>
      </c>
      <c r="K316" s="4">
        <v>46189</v>
      </c>
      <c r="L316" t="s">
        <v>18</v>
      </c>
      <c r="M316">
        <v>5509</v>
      </c>
      <c r="N316" t="str">
        <f t="shared" si="8"/>
        <v>mayor a 2 años</v>
      </c>
      <c r="O316" s="3">
        <f t="shared" si="9"/>
        <v>48.2</v>
      </c>
    </row>
    <row r="317" spans="1:15" x14ac:dyDescent="0.3">
      <c r="A317" t="s">
        <v>33</v>
      </c>
      <c r="B317">
        <v>190</v>
      </c>
      <c r="C317" t="s">
        <v>503</v>
      </c>
      <c r="D317" t="s">
        <v>16</v>
      </c>
      <c r="E317">
        <v>1069</v>
      </c>
      <c r="F317">
        <v>14.8</v>
      </c>
      <c r="G317">
        <v>14</v>
      </c>
      <c r="H317" s="1">
        <v>0.98170000000000002</v>
      </c>
      <c r="I317" t="s">
        <v>429</v>
      </c>
      <c r="J317" s="2">
        <v>44743</v>
      </c>
      <c r="K317" s="4">
        <v>46189</v>
      </c>
      <c r="L317" t="s">
        <v>18</v>
      </c>
      <c r="M317">
        <v>1107</v>
      </c>
      <c r="N317" t="str">
        <f t="shared" si="8"/>
        <v>mayor a 2 años</v>
      </c>
      <c r="O317" s="3">
        <f t="shared" si="9"/>
        <v>48.2</v>
      </c>
    </row>
    <row r="318" spans="1:15" x14ac:dyDescent="0.3">
      <c r="A318" t="s">
        <v>33</v>
      </c>
      <c r="B318">
        <v>86</v>
      </c>
      <c r="C318" t="s">
        <v>504</v>
      </c>
      <c r="D318" t="s">
        <v>16</v>
      </c>
      <c r="E318">
        <v>1044</v>
      </c>
      <c r="F318">
        <v>13.37</v>
      </c>
      <c r="G318">
        <v>14</v>
      </c>
      <c r="H318" s="1">
        <v>0.88670000000000004</v>
      </c>
      <c r="I318" t="s">
        <v>429</v>
      </c>
      <c r="J318" s="2">
        <v>44743</v>
      </c>
      <c r="K318" s="4">
        <v>46189</v>
      </c>
      <c r="L318" t="s">
        <v>18</v>
      </c>
      <c r="M318">
        <v>3</v>
      </c>
      <c r="N318" t="str">
        <f t="shared" si="8"/>
        <v>mayor a 2 años</v>
      </c>
      <c r="O318" s="3">
        <f t="shared" si="9"/>
        <v>48.2</v>
      </c>
    </row>
    <row r="319" spans="1:15" x14ac:dyDescent="0.3">
      <c r="A319" t="s">
        <v>14</v>
      </c>
      <c r="B319">
        <v>98</v>
      </c>
      <c r="C319" t="s">
        <v>505</v>
      </c>
      <c r="D319" t="s">
        <v>16</v>
      </c>
      <c r="E319">
        <v>779</v>
      </c>
      <c r="F319">
        <v>13.16</v>
      </c>
      <c r="G319">
        <v>14</v>
      </c>
      <c r="H319" s="1">
        <v>0.87260000000000004</v>
      </c>
      <c r="I319" t="s">
        <v>506</v>
      </c>
      <c r="J319" s="2">
        <v>44267</v>
      </c>
      <c r="K319" s="4">
        <v>46189</v>
      </c>
      <c r="L319" t="s">
        <v>99</v>
      </c>
      <c r="M319">
        <v>203</v>
      </c>
      <c r="N319" t="str">
        <f t="shared" si="8"/>
        <v>mayor a 2 años</v>
      </c>
      <c r="O319" s="3">
        <f t="shared" si="9"/>
        <v>64.066666666666663</v>
      </c>
    </row>
  </sheetData>
  <autoFilter ref="A1:O319" xr:uid="{BBEC67ED-191C-407E-A327-6B30B20929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BaseDatos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2026-06-17T18:43:22Z</dcterms:created>
  <dcterms:modified xsi:type="dcterms:W3CDTF">2026-06-17T20:10:47Z</dcterms:modified>
</cp:coreProperties>
</file>